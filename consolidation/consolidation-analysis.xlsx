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Tool Inventory" sheetId="1" r:id="rId1"/>
    <sheet name="2. Scoring Results" sheetId="2" r:id="rId2"/>
    <sheet name="3. Coverage Heatmap" sheetId="3" r:id="rId3"/>
    <sheet name="4. Scenario Comparison" sheetId="4" r:id="rId4"/>
    <sheet name="5. Execution Roadmap" sheetId="5" r:id="rId5"/>
    <sheet name="6. Dashboard" sheetId="6" r:id="rId6"/>
  </sheets>
  <calcPr calcId="124519" fullCalcOnLoad="1"/>
</workbook>
</file>

<file path=xl/sharedStrings.xml><?xml version="1.0" encoding="utf-8"?>
<sst xmlns="http://schemas.openxmlformats.org/spreadsheetml/2006/main" count="601" uniqueCount="310">
  <si>
    <t>Acme Financial Corp — Security Tool Inventory  |  April 2025  |  22 Tools  |  $3.78M Total Annual Cost</t>
  </si>
  <si>
    <t>#</t>
  </si>
  <si>
    <t>Tool Name</t>
  </si>
  <si>
    <t>Vendor</t>
  </si>
  <si>
    <t>Category</t>
  </si>
  <si>
    <t>NIST
Function</t>
  </si>
  <si>
    <t>ZT Pillar</t>
  </si>
  <si>
    <t>Deploy
Type</t>
  </si>
  <si>
    <t>Licence
($K/yr)</t>
  </si>
  <si>
    <t>Opex
($K/yr)</t>
  </si>
  <si>
    <t>Total
($K/yr)</t>
  </si>
  <si>
    <t>Contract
End</t>
  </si>
  <si>
    <t>ZT
Alignment</t>
  </si>
  <si>
    <t>Redundancy</t>
  </si>
  <si>
    <t>Recommendation</t>
  </si>
  <si>
    <t>Splunk Enterprise Security</t>
  </si>
  <si>
    <t>Cisco/Splunk</t>
  </si>
  <si>
    <t>SIEM</t>
  </si>
  <si>
    <t>Detect</t>
  </si>
  <si>
    <t>Visibility</t>
  </si>
  <si>
    <t>on-prem</t>
  </si>
  <si>
    <t>2026-03</t>
  </si>
  <si>
    <t>Neutral</t>
  </si>
  <si>
    <t>Partial</t>
  </si>
  <si>
    <t>Retain</t>
  </si>
  <si>
    <t>Exabeam UEBA</t>
  </si>
  <si>
    <t>Exabeam</t>
  </si>
  <si>
    <t>UEBA</t>
  </si>
  <si>
    <t>SaaS</t>
  </si>
  <si>
    <t>2025-09</t>
  </si>
  <si>
    <t>Yes</t>
  </si>
  <si>
    <t>Retire</t>
  </si>
  <si>
    <t>CrowdStrike Falcon Complete</t>
  </si>
  <si>
    <t>CrowdStrike</t>
  </si>
  <si>
    <t>EDR/XDR</t>
  </si>
  <si>
    <t>Device</t>
  </si>
  <si>
    <t>agent</t>
  </si>
  <si>
    <t>2026-06</t>
  </si>
  <si>
    <t>Advancing</t>
  </si>
  <si>
    <t>No</t>
  </si>
  <si>
    <t>Carbon Black EDR (legacy)</t>
  </si>
  <si>
    <t>Broadcom</t>
  </si>
  <si>
    <t>EDR</t>
  </si>
  <si>
    <t>2025-07</t>
  </si>
  <si>
    <t>Cisco AnyConnect VPN</t>
  </si>
  <si>
    <t>Cisco</t>
  </si>
  <si>
    <t>VPN</t>
  </si>
  <si>
    <t>Protect</t>
  </si>
  <si>
    <t>Network</t>
  </si>
  <si>
    <t>2025-12</t>
  </si>
  <si>
    <t>Perimeter-era</t>
  </si>
  <si>
    <t>Replace</t>
  </si>
  <si>
    <t>Zscaler ZIA</t>
  </si>
  <si>
    <t>Zscaler</t>
  </si>
  <si>
    <t>SSE/SWG</t>
  </si>
  <si>
    <t>2027-01</t>
  </si>
  <si>
    <t>Okta Workforce Identity</t>
  </si>
  <si>
    <t>Okta</t>
  </si>
  <si>
    <t>IAM/SSO/MFA</t>
  </si>
  <si>
    <t>Identity</t>
  </si>
  <si>
    <t>2026-04</t>
  </si>
  <si>
    <t>RSA SecurID (on-prem MFA)</t>
  </si>
  <si>
    <t>RSA Security</t>
  </si>
  <si>
    <t>MFA</t>
  </si>
  <si>
    <t>2025-11</t>
  </si>
  <si>
    <t>CyberArk Privilege Cloud</t>
  </si>
  <si>
    <t>CyberArk</t>
  </si>
  <si>
    <t>PAM</t>
  </si>
  <si>
    <t>2026-09</t>
  </si>
  <si>
    <t>Qualys VMDR</t>
  </si>
  <si>
    <t>Qualys</t>
  </si>
  <si>
    <t>VM</t>
  </si>
  <si>
    <t>Identify</t>
  </si>
  <si>
    <t>2025-10</t>
  </si>
  <si>
    <t>Tenable.io</t>
  </si>
  <si>
    <t>Tenable</t>
  </si>
  <si>
    <t>2025-06</t>
  </si>
  <si>
    <t>Palo Alto PA-3200 NGFW</t>
  </si>
  <si>
    <t>Palo Alto</t>
  </si>
  <si>
    <t>NGFW</t>
  </si>
  <si>
    <t>hardware</t>
  </si>
  <si>
    <t>2027-06</t>
  </si>
  <si>
    <t>Forescout NAC</t>
  </si>
  <si>
    <t>Forescout</t>
  </si>
  <si>
    <t>NAC</t>
  </si>
  <si>
    <t>2025-08</t>
  </si>
  <si>
    <t>Varonis</t>
  </si>
  <si>
    <t>DSPM/DAG</t>
  </si>
  <si>
    <t>Data</t>
  </si>
  <si>
    <t>hybrid</t>
  </si>
  <si>
    <t>2026-02</t>
  </si>
  <si>
    <t>McAfee DLP (endpoint)</t>
  </si>
  <si>
    <t>Trellix</t>
  </si>
  <si>
    <t>DLP</t>
  </si>
  <si>
    <t>2025-05</t>
  </si>
  <si>
    <t>Microsoft M365 E3</t>
  </si>
  <si>
    <t>Microsoft</t>
  </si>
  <si>
    <t>Email/Endpoint</t>
  </si>
  <si>
    <t>rolling</t>
  </si>
  <si>
    <t>Upgrade to E5</t>
  </si>
  <si>
    <t>Proofpoint TAP</t>
  </si>
  <si>
    <t>Proofpoint</t>
  </si>
  <si>
    <t>Email Security</t>
  </si>
  <si>
    <t>Application</t>
  </si>
  <si>
    <t>2026-01</t>
  </si>
  <si>
    <t>Archer GRC</t>
  </si>
  <si>
    <t>OpenPages/IBM</t>
  </si>
  <si>
    <t>GRC</t>
  </si>
  <si>
    <t>Govern</t>
  </si>
  <si>
    <t>—</t>
  </si>
  <si>
    <t>2026-11</t>
  </si>
  <si>
    <t>Rapid7 InsightIDR</t>
  </si>
  <si>
    <t>Rapid7</t>
  </si>
  <si>
    <t>DFIR</t>
  </si>
  <si>
    <t>Respond</t>
  </si>
  <si>
    <t>PagerDuty</t>
  </si>
  <si>
    <t>Case Mgmt</t>
  </si>
  <si>
    <t>Cofense PhishMe</t>
  </si>
  <si>
    <t>Cofense</t>
  </si>
  <si>
    <t>Sec Awareness</t>
  </si>
  <si>
    <t>AWS Security Hub+GuardDuty</t>
  </si>
  <si>
    <t>AWS</t>
  </si>
  <si>
    <t>CNAPP/CSPM</t>
  </si>
  <si>
    <t>PAYG</t>
  </si>
  <si>
    <t>TOTAL ANNUAL COST</t>
  </si>
  <si>
    <t>22 tools | 18 vendors | $3.78M total</t>
  </si>
  <si>
    <t>LEGEND</t>
  </si>
  <si>
    <t>ZT Alignment</t>
  </si>
  <si>
    <t>Replace / Consolidate</t>
  </si>
  <si>
    <t>Upgrade</t>
  </si>
  <si>
    <t>Yes — full overlap</t>
  </si>
  <si>
    <t>Partial overlap</t>
  </si>
  <si>
    <t>No — unique</t>
  </si>
  <si>
    <t>Consolidation Priority Scoring  |  Score = (5-U)+(5-CE)+PA+(5-ZTA)+(5-OO)-RR  |  Range: 0 (Retain) → 25 (Retire Now)</t>
  </si>
  <si>
    <t>Dimension Reference</t>
  </si>
  <si>
    <t>U = Capability
Uniqueness</t>
  </si>
  <si>
    <t>CE = Cost
Efficiency</t>
  </si>
  <si>
    <t>PA = Platform
Absorption</t>
  </si>
  <si>
    <t>ZTA = ZT
Alignment</t>
  </si>
  <si>
    <t>OO = Ops
Overhead</t>
  </si>
  <si>
    <t>RR = Removal
Risk</t>
  </si>
  <si>
    <t>Score = 0–25</t>
  </si>
  <si>
    <t>Action</t>
  </si>
  <si>
    <t>Uniqueness
(1–5)</t>
  </si>
  <si>
    <t>Cost Eff.
(1–5)</t>
  </si>
  <si>
    <t>Platform
Absorption</t>
  </si>
  <si>
    <t>ZT Align
(1–5)</t>
  </si>
  <si>
    <t>Ops O/H
(1–5)</t>
  </si>
  <si>
    <t>Removal
Risk</t>
  </si>
  <si>
    <t>Priority
Score</t>
  </si>
  <si>
    <t>Priority Band</t>
  </si>
  <si>
    <t>Retire / Consolidate Now</t>
  </si>
  <si>
    <t>RSA SecurID</t>
  </si>
  <si>
    <t>McAfee DLP</t>
  </si>
  <si>
    <t>Carbon Black EDR</t>
  </si>
  <si>
    <t>Consolidate 6–12m</t>
  </si>
  <si>
    <t>Consolidate</t>
  </si>
  <si>
    <t>Evaluate at Renewal</t>
  </si>
  <si>
    <t>Splunk ES</t>
  </si>
  <si>
    <t>Okta Workforce</t>
  </si>
  <si>
    <t>CyberArk PAM</t>
  </si>
  <si>
    <t>CrowdStrike Falcon</t>
  </si>
  <si>
    <t>Palo Alto PA NGFW</t>
  </si>
  <si>
    <t>AWS Security Hub</t>
  </si>
  <si>
    <t>PRIORITY BAND DEFINITIONS</t>
  </si>
  <si>
    <t>20–25</t>
  </si>
  <si>
    <t>Immediate action; quick wins available; perimeter-era tools</t>
  </si>
  <si>
    <t>14–19</t>
  </si>
  <si>
    <t>Consolidate 6–12 months</t>
  </si>
  <si>
    <t>Plan migration; align with contract renewal; platform alternative ready</t>
  </si>
  <si>
    <t>8–13</t>
  </si>
  <si>
    <t>Reassess at contract milestone; monitor platform absorption progress</t>
  </si>
  <si>
    <t>0–7</t>
  </si>
  <si>
    <t>Strategic tool; no consolidation candidate in current planning horizon</t>
  </si>
  <si>
    <t>Security Coverage Heatmap  —  NIST CSF Function × Zero Trust Pillar  |  Current State (Before Consolidation)</t>
  </si>
  <si>
    <t>NIST CSF
Function</t>
  </si>
  <si>
    <t>App</t>
  </si>
  <si>
    <t>Key tools covering this function</t>
  </si>
  <si>
    <t>N/A</t>
  </si>
  <si>
    <t>Archer GRC, Cofense PhishMe</t>
  </si>
  <si>
    <t>Over-covered</t>
  </si>
  <si>
    <t>Covered</t>
  </si>
  <si>
    <t>Single/At Risk</t>
  </si>
  <si>
    <t>Qualys VMDR, Tenable.io, Varonis</t>
  </si>
  <si>
    <t>Okta, CyberArk, Zscaler ZIA, Palo Alto NGFW, Proofpoint, M365</t>
  </si>
  <si>
    <t>Splunk ES, CrowdStrike Falcon, AWS GuardDuty</t>
  </si>
  <si>
    <t>Splunk SOAR (planned), Rapid7, PagerDuty</t>
  </si>
  <si>
    <t>Recover</t>
  </si>
  <si>
    <t>GAP</t>
  </si>
  <si>
    <t>⚠ NO COVERAGE — critical gap</t>
  </si>
  <si>
    <t>2+ tools cover this; consolidation candidate</t>
  </si>
  <si>
    <t>Single tool provides adequate coverage</t>
  </si>
  <si>
    <t>Single / At Risk</t>
  </si>
  <si>
    <t>One tool; medium removal risk if retired</t>
  </si>
  <si>
    <t>No coverage — urgent investment needed</t>
  </si>
  <si>
    <t>Not applicable to this function/pillar combination</t>
  </si>
  <si>
    <t>Post-Scenario B (24 months): Recover gaps closed (Veeam added); over-coverage in Identity and Device resolved; Network moves from Perimeter-era to Initial ZT maturity</t>
  </si>
  <si>
    <t>Consolidation Scenario Comparison  |  Acme Financial Corp  |  April 2025</t>
  </si>
  <si>
    <t>Metric</t>
  </si>
  <si>
    <t>Current State</t>
  </si>
  <si>
    <t>Scenario A
(12 months)</t>
  </si>
  <si>
    <t>Scenario B
(24 months)</t>
  </si>
  <si>
    <t>Scenario C
(36 months)</t>
  </si>
  <si>
    <t>── OPERATIONAL ──</t>
  </si>
  <si>
    <t>Tool Count</t>
  </si>
  <si>
    <t>Vendor Count</t>
  </si>
  <si>
    <t>Perimeter-era Tools</t>
  </si>
  <si>
    <t>Coverage Gaps (Red Cells)</t>
  </si>
  <si>
    <t>── FINANCIAL ──</t>
  </si>
  <si>
    <t>Annual Cost ($K)</t>
  </si>
  <si>
    <t>Saving vs. Current ($K)</t>
  </si>
  <si>
    <t>── ZT MATURITY (1=Traditional, 4=Optimal) ──</t>
  </si>
  <si>
    <t>Identity Pillar</t>
  </si>
  <si>
    <t>2 — Initial</t>
  </si>
  <si>
    <t>3 — Advanced</t>
  </si>
  <si>
    <t>Device Pillar</t>
  </si>
  <si>
    <t>Network Pillar</t>
  </si>
  <si>
    <t>1 — Traditional</t>
  </si>
  <si>
    <t>Application Pillar</t>
  </si>
  <si>
    <t>Data Pillar</t>
  </si>
  <si>
    <t>4 — Optimal</t>
  </si>
  <si>
    <t>Contract-Aligned Execution Plan  |  Sequenced by Contract End Date  |  No Forced Early Terminations</t>
  </si>
  <si>
    <t>Quarter</t>
  </si>
  <si>
    <t>Tool Exited / Deployed</t>
  </si>
  <si>
    <t>Replaces / Enables</t>
  </si>
  <si>
    <t>Net Saving</t>
  </si>
  <si>
    <t>Notes</t>
  </si>
  <si>
    <t>2025 Q2</t>
  </si>
  <si>
    <t>EXIT</t>
  </si>
  <si>
    <t>Activate M365 E5 Purview DLP</t>
  </si>
  <si>
    <t>Contract May-25; E5 upgrade $85K offset</t>
  </si>
  <si>
    <t>Consolidate on Qualys VMDR</t>
  </si>
  <si>
    <t>Contract Jun-25; no migration needed</t>
  </si>
  <si>
    <t>2025 Q3</t>
  </si>
  <si>
    <t>CrowdStrike already deployed</t>
  </si>
  <si>
    <t>Contract Jul-25; 30-day parallel run</t>
  </si>
  <si>
    <t>CrowdStrike device posture + Okta CA</t>
  </si>
  <si>
    <t>Contract Aug-25; ZT device maturity +1</t>
  </si>
  <si>
    <t>Splunk SOAR module activated</t>
  </si>
  <si>
    <t>Contract Sep-25; $40K SOAR add-on</t>
  </si>
  <si>
    <t>Splunk ML UEBA (already licensed)</t>
  </si>
  <si>
    <t>Contract Sep-25; no new investment</t>
  </si>
  <si>
    <t>2025 Q4</t>
  </si>
  <si>
    <t>Okta MFA fully validated as primary</t>
  </si>
  <si>
    <t>Contract Nov-25; Okta already live</t>
  </si>
  <si>
    <t>Zscaler ZPA (ZTNA)</t>
  </si>
  <si>
    <t>DEPLOY</t>
  </si>
  <si>
    <t>Parallel with VPN; begin pilot</t>
  </si>
  <si>
    <t>Investment</t>
  </si>
  <si>
    <t>$120K new; enables VPN exit</t>
  </si>
  <si>
    <t>SailPoint IGA (basic)</t>
  </si>
  <si>
    <t>Fill IGA gap; MAS TRM compliance</t>
  </si>
  <si>
    <t>$120K new; access certification automated</t>
  </si>
  <si>
    <t>2026 Q1</t>
  </si>
  <si>
    <t>ZPA pilot validated; VPN decommissioned</t>
  </si>
  <si>
    <t>Contract Dec-25; ZT network maturity +1</t>
  </si>
  <si>
    <t>Veeam Hardened Repository</t>
  </si>
  <si>
    <t>Fill Recover gap; ransomware resilience</t>
  </si>
  <si>
    <t>$95K new; closes last red cell</t>
  </si>
  <si>
    <t>2026 Q2</t>
  </si>
  <si>
    <t>Wiz CNAPP</t>
  </si>
  <si>
    <t>Cloud posture; AWS CSPM augmentation</t>
  </si>
  <si>
    <t>$180K new; CNAPP depth for AWS</t>
  </si>
  <si>
    <t>Splunk ES renewal decision</t>
  </si>
  <si>
    <t>EVAL</t>
  </si>
  <si>
    <t>Evaluate Sentinel migration (Scenario C)</t>
  </si>
  <si>
    <t>Mar-26 renewal; Sentinel saves ~$230K/yr</t>
  </si>
  <si>
    <t>2026 Q3</t>
  </si>
  <si>
    <t>Splunk ES (if Scenario C)</t>
  </si>
  <si>
    <t>Microsoft Sentinel migration</t>
  </si>
  <si>
    <t>Conditional on Sentinel migration go-ahead</t>
  </si>
  <si>
    <t>SCENARIO B FINANCIAL SUMMARY (24-month horizon)</t>
  </si>
  <si>
    <t>Gross savings from tool retirements</t>
  </si>
  <si>
    <t>$995K</t>
  </si>
  <si>
    <t>New tool investment required</t>
  </si>
  <si>
    <t>$515K</t>
  </si>
  <si>
    <t>Net annual saving (Year 2+)</t>
  </si>
  <si>
    <t>$590K</t>
  </si>
  <si>
    <t>Scenario C additional saving (Splunk → Sentinel)</t>
  </si>
  <si>
    <t>$230K/yr</t>
  </si>
  <si>
    <t>Full Scenario C annual saving (Year 3+)</t>
  </si>
  <si>
    <t>$1.43M/yr</t>
  </si>
  <si>
    <t>Executive Dashboard  —  Security Tool Consolidation  |  Acme Financial Corp  |  April 2025</t>
  </si>
  <si>
    <t>Current Tools</t>
  </si>
  <si>
    <t>22</t>
  </si>
  <si>
    <t>vs current state</t>
  </si>
  <si>
    <t>Redundant Tools</t>
  </si>
  <si>
    <t>6</t>
  </si>
  <si>
    <t>3</t>
  </si>
  <si>
    <t>Quick Win Saving</t>
  </si>
  <si>
    <t>$750K</t>
  </si>
  <si>
    <t>3-Year Saving</t>
  </si>
  <si>
    <t>$1.43M</t>
  </si>
  <si>
    <t>Scenario</t>
  </si>
  <si>
    <t>Scenario A</t>
  </si>
  <si>
    <t>Scenario B</t>
  </si>
  <si>
    <t>Scenario C</t>
  </si>
  <si>
    <t>Count</t>
  </si>
  <si>
    <t>Pillar</t>
  </si>
  <si>
    <t>Current</t>
  </si>
  <si>
    <t>CONSOLIDATION SUMMARY</t>
  </si>
  <si>
    <t>Scen A
12m</t>
  </si>
  <si>
    <t>Scen B
24m</t>
  </si>
  <si>
    <t>Scen C
36m</t>
  </si>
  <si>
    <t>Tool count</t>
  </si>
  <si>
    <t>Vendor count</t>
  </si>
  <si>
    <t>Annual cost ($K)</t>
  </si>
  <si>
    <t>Saving vs today ($K)</t>
  </si>
  <si>
    <t>Coverage gaps</t>
  </si>
  <si>
    <t>Perimeter-era tools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</si>
</sst>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$#,##0&quot;K&quot;"/>
  </numFmts>
  <fonts count="2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A1A2E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9"/>
      <color rgb="FF1A1A2E"/>
      <name val="Calibri"/>
      <family val="2"/>
      <scheme val="minor"/>
    </font>
    <font>
      <b/>
      <sz val="10"/>
      <color rgb="FF1A1A2E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888888"/>
      <name val="Calibri"/>
      <family val="2"/>
      <scheme val="minor"/>
    </font>
    <font>
      <sz val="9"/>
      <color rgb="FF1A1A2E"/>
      <name val="Calibri"/>
      <family val="2"/>
      <scheme val="minor"/>
    </font>
    <font>
      <sz val="11"/>
      <color rgb="FF1A1A2E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rgb="FF1B5E20"/>
      <name val="Calibri"/>
      <family val="2"/>
      <scheme val="minor"/>
    </font>
    <font>
      <b/>
      <sz val="10"/>
      <color rgb="FF1B5E20"/>
      <name val="Calibri"/>
      <family val="2"/>
      <scheme val="minor"/>
    </font>
    <font>
      <sz val="10"/>
      <color rgb="FFE65100"/>
      <name val="Calibri"/>
      <family val="2"/>
      <scheme val="minor"/>
    </font>
    <font>
      <b/>
      <sz val="11"/>
      <color rgb="FF1B5E2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22"/>
      <color rgb="FF1A1A2E"/>
      <name val="Calibri"/>
      <family val="2"/>
      <scheme val="minor"/>
    </font>
    <font>
      <b/>
      <sz val="22"/>
      <color rgb="FFFF6B6B"/>
      <name val="Calibri"/>
      <family val="2"/>
      <scheme val="minor"/>
    </font>
    <font>
      <b/>
      <sz val="22"/>
      <color rgb="FF6BCB77"/>
      <name val="Calibri"/>
      <family val="2"/>
      <scheme val="minor"/>
    </font>
    <font>
      <sz val="9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F3460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B8B8"/>
        <bgColor indexed="64"/>
      </patternFill>
    </fill>
    <fill>
      <patternFill patternType="solid">
        <fgColor rgb="FFFFB347"/>
        <bgColor indexed="64"/>
      </patternFill>
    </fill>
    <fill>
      <patternFill patternType="solid">
        <fgColor rgb="FF6BCB77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D96FF"/>
        <bgColor indexed="64"/>
      </patternFill>
    </fill>
    <fill>
      <patternFill patternType="solid">
        <fgColor rgb="FFE8F4F8"/>
        <bgColor indexed="64"/>
      </patternFill>
    </fill>
    <fill>
      <patternFill patternType="solid">
        <fgColor rgb="FFEBF5EB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F5E6E8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164" fontId="6" fillId="12" borderId="1" xfId="0" applyNumberFormat="1" applyFont="1" applyFill="1" applyBorder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1" fillId="15" borderId="0" xfId="0" applyFont="1" applyFill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9" fillId="20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165" fontId="13" fillId="12" borderId="1" xfId="0" applyNumberFormat="1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left" vertical="center"/>
    </xf>
    <xf numFmtId="165" fontId="14" fillId="12" borderId="1" xfId="0" applyNumberFormat="1" applyFont="1" applyFill="1" applyBorder="1" applyAlignment="1">
      <alignment horizontal="left" vertical="center"/>
    </xf>
    <xf numFmtId="0" fontId="15" fillId="28" borderId="1" xfId="0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Annual Cost by Scenario ($K)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Annual Cost</c:v>
          </c:tx>
          <c:spPr>
            <a:solidFill/>
          </c:spPr>
          <c:dLbls>
            <c:numFmt formatCode="$#,##0&quot;K&quot;" sourceLinked="0"/>
            <c:showVal val="1"/>
          </c:dLbls>
          <c:cat>
            <c:strRef>
              <c:f>'6. Dashboard'!$A$7:$A$10</c:f>
              <c:strCache>
                <c:ptCount val="4"/>
                <c:pt idx="0">
                  <c:v>Current State</c:v>
                </c:pt>
                <c:pt idx="1">
                  <c:v>Scenario A</c:v>
                </c:pt>
                <c:pt idx="2">
                  <c:v>Scenario B</c:v>
                </c:pt>
                <c:pt idx="3">
                  <c:v>Scenario C</c:v>
                </c:pt>
              </c:strCache>
            </c:strRef>
          </c:cat>
          <c:val>
            <c:numRef>
              <c:f>'6. Dashboard'!$B$7:$B$10</c:f>
              <c:numCache>
                <c:formatCode>General</c:formatCode>
                <c:ptCount val="4"/>
                <c:pt idx="0">
                  <c:v>3780</c:v>
                </c:pt>
                <c:pt idx="1">
                  <c:v>3030</c:v>
                </c:pt>
                <c:pt idx="2">
                  <c:v>3190</c:v>
                </c:pt>
                <c:pt idx="3">
                  <c:v>2350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5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($K)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Tools by Recommendation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Tools by Recommendation</c:v>
          </c:tx>
          <c:dPt>
            <c:idx val="0"/>
            <c:spPr>
              <a:solidFill>
                <a:srgbClr val="6BCB77"/>
              </a:solidFill>
            </c:spPr>
          </c:dPt>
          <c:dPt>
            <c:idx val="1"/>
            <c:spPr>
              <a:solidFill>
                <a:srgbClr val="FF6B6B"/>
              </a:solidFill>
            </c:spPr>
          </c:dPt>
          <c:dPt>
            <c:idx val="2"/>
            <c:spPr>
              <a:solidFill>
                <a:srgbClr val="FFB347"/>
              </a:solidFill>
            </c:spPr>
          </c:dPt>
          <c:dPt>
            <c:idx val="3"/>
            <c:spPr>
              <a:solidFill>
                <a:srgbClr val="FFB347"/>
              </a:solidFill>
            </c:spPr>
          </c:dPt>
          <c:dPt>
            <c:idx val="4"/>
            <c:spPr>
              <a:solidFill>
                <a:srgbClr val="4D96FF"/>
              </a:solidFill>
            </c:spPr>
          </c:dPt>
          <c:dLbls>
            <c:showCatName val="1"/>
            <c:showPercent val="1"/>
          </c:dLbls>
          <c:cat>
            <c:strRef>
              <c:f>'6. Dashboard'!$A$13:$A$17</c:f>
              <c:strCache>
                <c:ptCount val="5"/>
                <c:pt idx="0">
                  <c:v>Retain</c:v>
                </c:pt>
                <c:pt idx="1">
                  <c:v>Retire</c:v>
                </c:pt>
                <c:pt idx="2">
                  <c:v>Replace</c:v>
                </c:pt>
                <c:pt idx="3">
                  <c:v>Consolidate</c:v>
                </c:pt>
                <c:pt idx="4">
                  <c:v>Upgrade to E5</c:v>
                </c:pt>
              </c:strCache>
            </c:strRef>
          </c:cat>
          <c:val>
            <c:numRef>
              <c:f>'6. Dashboard'!$B$13:$B$17</c:f>
              <c:numCache>
                <c:formatCode>General</c:formatCode>
                <c:ptCount val="5"/>
                <c:pt idx="0">
                  <c:v>13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ZT Maturity by Pillar (1=Traditional → 4=Optimal)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Current</c:v>
          </c:tx>
          <c:spPr>
            <a:solidFill>
              <a:srgbClr val="E94560"/>
            </a:solidFill>
          </c:spPr>
          <c:cat>
            <c:strRef>
              <c:f>'6. Dashboard'!$A$20:$A$25</c:f>
              <c:strCache>
                <c:ptCount val="6"/>
                <c:pt idx="0">
                  <c:v>Identity</c:v>
                </c:pt>
                <c:pt idx="1">
                  <c:v>Device</c:v>
                </c:pt>
                <c:pt idx="2">
                  <c:v>Network</c:v>
                </c:pt>
                <c:pt idx="3">
                  <c:v>Application</c:v>
                </c:pt>
                <c:pt idx="4">
                  <c:v>Data</c:v>
                </c:pt>
                <c:pt idx="5">
                  <c:v>Visibility</c:v>
                </c:pt>
              </c:strCache>
            </c:strRef>
          </c:cat>
          <c:val>
            <c:numRef>
              <c:f>'6. Dashboard'!$B$20:$B$25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ser>
          <c:idx val="1"/>
          <c:order val="1"/>
          <c:tx>
            <c:v>Scenario B</c:v>
          </c:tx>
          <c:spPr>
            <a:solidFill>
              <a:srgbClr val="FFB347"/>
            </a:solidFill>
          </c:spPr>
          <c:cat>
            <c:strRef>
              <c:f>'6. Dashboard'!$A$20:$A$25</c:f>
              <c:strCache>
                <c:ptCount val="6"/>
                <c:pt idx="0">
                  <c:v>Identity</c:v>
                </c:pt>
                <c:pt idx="1">
                  <c:v>Device</c:v>
                </c:pt>
                <c:pt idx="2">
                  <c:v>Network</c:v>
                </c:pt>
                <c:pt idx="3">
                  <c:v>Application</c:v>
                </c:pt>
                <c:pt idx="4">
                  <c:v>Data</c:v>
                </c:pt>
                <c:pt idx="5">
                  <c:v>Visibility</c:v>
                </c:pt>
              </c:strCache>
            </c:strRef>
          </c:cat>
          <c:val>
            <c:numRef>
              <c:f>'6. Dashboard'!$C$20:$C$25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</c:ser>
        <c:ser>
          <c:idx val="2"/>
          <c:order val="2"/>
          <c:tx>
            <c:v>Scenario C</c:v>
          </c:tx>
          <c:spPr>
            <a:solidFill>
              <a:srgbClr val="6BCB77"/>
            </a:solidFill>
          </c:spPr>
          <c:cat>
            <c:strRef>
              <c:f>'6. Dashboard'!$A$20:$A$25</c:f>
              <c:strCache>
                <c:ptCount val="6"/>
                <c:pt idx="0">
                  <c:v>Identity</c:v>
                </c:pt>
                <c:pt idx="1">
                  <c:v>Device</c:v>
                </c:pt>
                <c:pt idx="2">
                  <c:v>Network</c:v>
                </c:pt>
                <c:pt idx="3">
                  <c:v>Application</c:v>
                </c:pt>
                <c:pt idx="4">
                  <c:v>Data</c:v>
                </c:pt>
                <c:pt idx="5">
                  <c:v>Visibility</c:v>
                </c:pt>
              </c:strCache>
            </c:strRef>
          </c:cat>
          <c:val>
            <c:numRef>
              <c:f>'6. Dashboard'!$D$20:$D$25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ZT Pillar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Maturity Stage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26</xdr:row>
      <xdr:rowOff>47625</xdr:rowOff>
    </xdr:from>
    <xdr:to>
      <xdr:col>8</xdr:col>
      <xdr:colOff>9525</xdr:colOff>
      <xdr:row>35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</xdr:colOff>
      <xdr:row>26</xdr:row>
      <xdr:rowOff>47625</xdr:rowOff>
    </xdr:from>
    <xdr:to>
      <xdr:col>14</xdr:col>
      <xdr:colOff>9525</xdr:colOff>
      <xdr:row>35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47625</xdr:colOff>
      <xdr:row>26</xdr:row>
      <xdr:rowOff>47625</xdr:rowOff>
    </xdr:from>
    <xdr:to>
      <xdr:col>10</xdr:col>
      <xdr:colOff>123825</xdr:colOff>
      <xdr:row>36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3460"/>
  </sheetPr>
  <dimension ref="A1:N30"/>
  <sheetViews>
    <sheetView tabSelected="1" zoomScale="90" zoomScaleNormal="90" workbookViewId="0">
      <pane ySplit="2" topLeftCell="A3" activePane="bottomLeft" state="frozen"/>
      <selection pane="bottomLeft"/>
    </sheetView>
  </sheetViews>
  <sheetFormatPr defaultRowHeight="15"/>
  <cols>
    <col min="1" max="1" width="4.7109375" customWidth="1"/>
    <col min="2" max="2" width="32.7109375" customWidth="1"/>
    <col min="3" max="3" width="22.7109375" customWidth="1"/>
    <col min="4" max="4" width="18.7109375" customWidth="1"/>
    <col min="5" max="5" width="12.7109375" customWidth="1"/>
    <col min="6" max="6" width="14.7109375" customWidth="1"/>
    <col min="7" max="7" width="12.7109375" customWidth="1"/>
    <col min="8" max="8" width="14.7109375" customWidth="1"/>
    <col min="9" max="9" width="10.7109375" customWidth="1"/>
    <col min="10" max="10" width="14.7109375" customWidth="1"/>
    <col min="11" max="11" width="13.7109375" customWidth="1"/>
    <col min="12" max="12" width="16.7109375" customWidth="1"/>
    <col min="13" max="13" width="14.7109375" customWidth="1"/>
    <col min="14" max="14" width="18.7109375" customWidth="1"/>
  </cols>
  <sheetData>
    <row r="1" spans="1:14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0" customHeight="1">
      <c r="A3" s="3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>
        <v>480000</v>
      </c>
      <c r="I3" s="4">
        <v>120000</v>
      </c>
      <c r="J3" s="4">
        <v>600000</v>
      </c>
      <c r="K3" s="3" t="s">
        <v>21</v>
      </c>
      <c r="L3" s="5" t="s">
        <v>22</v>
      </c>
      <c r="M3" s="6" t="s">
        <v>23</v>
      </c>
      <c r="N3" s="7" t="s">
        <v>24</v>
      </c>
    </row>
    <row r="4" spans="1:14" ht="20" customHeight="1">
      <c r="A4" s="8">
        <v>2</v>
      </c>
      <c r="B4" s="8" t="s">
        <v>25</v>
      </c>
      <c r="C4" s="8" t="s">
        <v>26</v>
      </c>
      <c r="D4" s="8" t="s">
        <v>27</v>
      </c>
      <c r="E4" s="8" t="s">
        <v>18</v>
      </c>
      <c r="F4" s="8" t="s">
        <v>19</v>
      </c>
      <c r="G4" s="8" t="s">
        <v>28</v>
      </c>
      <c r="H4" s="9">
        <v>180000</v>
      </c>
      <c r="I4" s="9">
        <v>45000</v>
      </c>
      <c r="J4" s="9">
        <v>225000</v>
      </c>
      <c r="K4" s="8" t="s">
        <v>29</v>
      </c>
      <c r="L4" s="5" t="s">
        <v>22</v>
      </c>
      <c r="M4" s="10" t="s">
        <v>30</v>
      </c>
      <c r="N4" s="11" t="s">
        <v>31</v>
      </c>
    </row>
    <row r="5" spans="1:14" ht="20" customHeight="1">
      <c r="A5" s="3">
        <v>3</v>
      </c>
      <c r="B5" s="3" t="s">
        <v>32</v>
      </c>
      <c r="C5" s="3" t="s">
        <v>33</v>
      </c>
      <c r="D5" s="3" t="s">
        <v>34</v>
      </c>
      <c r="E5" s="3" t="s">
        <v>18</v>
      </c>
      <c r="F5" s="3" t="s">
        <v>35</v>
      </c>
      <c r="G5" s="3" t="s">
        <v>36</v>
      </c>
      <c r="H5" s="4">
        <v>320000</v>
      </c>
      <c r="I5" s="4">
        <v>30000</v>
      </c>
      <c r="J5" s="4">
        <v>350000</v>
      </c>
      <c r="K5" s="3" t="s">
        <v>37</v>
      </c>
      <c r="L5" s="12" t="s">
        <v>38</v>
      </c>
      <c r="M5" s="12" t="s">
        <v>39</v>
      </c>
      <c r="N5" s="7" t="s">
        <v>24</v>
      </c>
    </row>
    <row r="6" spans="1:14" ht="20" customHeight="1">
      <c r="A6" s="8">
        <v>4</v>
      </c>
      <c r="B6" s="8" t="s">
        <v>40</v>
      </c>
      <c r="C6" s="8" t="s">
        <v>41</v>
      </c>
      <c r="D6" s="8" t="s">
        <v>42</v>
      </c>
      <c r="E6" s="8" t="s">
        <v>18</v>
      </c>
      <c r="F6" s="8" t="s">
        <v>35</v>
      </c>
      <c r="G6" s="8" t="s">
        <v>36</v>
      </c>
      <c r="H6" s="9">
        <v>95000</v>
      </c>
      <c r="I6" s="9">
        <v>60000</v>
      </c>
      <c r="J6" s="9">
        <v>155000</v>
      </c>
      <c r="K6" s="8" t="s">
        <v>43</v>
      </c>
      <c r="L6" s="5" t="s">
        <v>22</v>
      </c>
      <c r="M6" s="10" t="s">
        <v>30</v>
      </c>
      <c r="N6" s="11" t="s">
        <v>31</v>
      </c>
    </row>
    <row r="7" spans="1:14" ht="20" customHeight="1">
      <c r="A7" s="3">
        <v>5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36</v>
      </c>
      <c r="H7" s="4">
        <v>65000</v>
      </c>
      <c r="I7" s="4">
        <v>40000</v>
      </c>
      <c r="J7" s="4">
        <v>105000</v>
      </c>
      <c r="K7" s="3" t="s">
        <v>49</v>
      </c>
      <c r="L7" s="10" t="s">
        <v>50</v>
      </c>
      <c r="M7" s="6" t="s">
        <v>23</v>
      </c>
      <c r="N7" s="13" t="s">
        <v>51</v>
      </c>
    </row>
    <row r="8" spans="1:14" ht="20" customHeight="1">
      <c r="A8" s="8">
        <v>6</v>
      </c>
      <c r="B8" s="8" t="s">
        <v>52</v>
      </c>
      <c r="C8" s="8" t="s">
        <v>53</v>
      </c>
      <c r="D8" s="8" t="s">
        <v>54</v>
      </c>
      <c r="E8" s="8" t="s">
        <v>47</v>
      </c>
      <c r="F8" s="8" t="s">
        <v>48</v>
      </c>
      <c r="G8" s="8" t="s">
        <v>28</v>
      </c>
      <c r="H8" s="9">
        <v>180000</v>
      </c>
      <c r="I8" s="9">
        <v>25000</v>
      </c>
      <c r="J8" s="9">
        <v>205000</v>
      </c>
      <c r="K8" s="8" t="s">
        <v>55</v>
      </c>
      <c r="L8" s="12" t="s">
        <v>38</v>
      </c>
      <c r="M8" s="12" t="s">
        <v>39</v>
      </c>
      <c r="N8" s="7" t="s">
        <v>24</v>
      </c>
    </row>
    <row r="9" spans="1:14" ht="20" customHeight="1">
      <c r="A9" s="3">
        <v>7</v>
      </c>
      <c r="B9" s="3" t="s">
        <v>56</v>
      </c>
      <c r="C9" s="3" t="s">
        <v>57</v>
      </c>
      <c r="D9" s="3" t="s">
        <v>58</v>
      </c>
      <c r="E9" s="3" t="s">
        <v>47</v>
      </c>
      <c r="F9" s="3" t="s">
        <v>59</v>
      </c>
      <c r="G9" s="3" t="s">
        <v>28</v>
      </c>
      <c r="H9" s="4">
        <v>145000</v>
      </c>
      <c r="I9" s="4">
        <v>20000</v>
      </c>
      <c r="J9" s="4">
        <v>165000</v>
      </c>
      <c r="K9" s="3" t="s">
        <v>60</v>
      </c>
      <c r="L9" s="12" t="s">
        <v>38</v>
      </c>
      <c r="M9" s="6" t="s">
        <v>23</v>
      </c>
      <c r="N9" s="7" t="s">
        <v>24</v>
      </c>
    </row>
    <row r="10" spans="1:14" ht="20" customHeight="1">
      <c r="A10" s="8">
        <v>8</v>
      </c>
      <c r="B10" s="8" t="s">
        <v>61</v>
      </c>
      <c r="C10" s="8" t="s">
        <v>62</v>
      </c>
      <c r="D10" s="8" t="s">
        <v>63</v>
      </c>
      <c r="E10" s="8" t="s">
        <v>47</v>
      </c>
      <c r="F10" s="8" t="s">
        <v>59</v>
      </c>
      <c r="G10" s="8" t="s">
        <v>20</v>
      </c>
      <c r="H10" s="9">
        <v>85000</v>
      </c>
      <c r="I10" s="9">
        <v>75000</v>
      </c>
      <c r="J10" s="9">
        <v>160000</v>
      </c>
      <c r="K10" s="8" t="s">
        <v>64</v>
      </c>
      <c r="L10" s="10" t="s">
        <v>50</v>
      </c>
      <c r="M10" s="10" t="s">
        <v>30</v>
      </c>
      <c r="N10" s="11" t="s">
        <v>31</v>
      </c>
    </row>
    <row r="11" spans="1:14" ht="20" customHeight="1">
      <c r="A11" s="3">
        <v>9</v>
      </c>
      <c r="B11" s="3" t="s">
        <v>65</v>
      </c>
      <c r="C11" s="3" t="s">
        <v>66</v>
      </c>
      <c r="D11" s="3" t="s">
        <v>67</v>
      </c>
      <c r="E11" s="3" t="s">
        <v>47</v>
      </c>
      <c r="F11" s="3" t="s">
        <v>59</v>
      </c>
      <c r="G11" s="3" t="s">
        <v>28</v>
      </c>
      <c r="H11" s="4">
        <v>220000</v>
      </c>
      <c r="I11" s="4">
        <v>35000</v>
      </c>
      <c r="J11" s="4">
        <v>255000</v>
      </c>
      <c r="K11" s="3" t="s">
        <v>68</v>
      </c>
      <c r="L11" s="12" t="s">
        <v>38</v>
      </c>
      <c r="M11" s="12" t="s">
        <v>39</v>
      </c>
      <c r="N11" s="7" t="s">
        <v>24</v>
      </c>
    </row>
    <row r="12" spans="1:14" ht="20" customHeight="1">
      <c r="A12" s="8">
        <v>10</v>
      </c>
      <c r="B12" s="8" t="s">
        <v>69</v>
      </c>
      <c r="C12" s="8" t="s">
        <v>70</v>
      </c>
      <c r="D12" s="8" t="s">
        <v>71</v>
      </c>
      <c r="E12" s="8" t="s">
        <v>72</v>
      </c>
      <c r="F12" s="8" t="s">
        <v>35</v>
      </c>
      <c r="G12" s="8" t="s">
        <v>28</v>
      </c>
      <c r="H12" s="9">
        <v>95000</v>
      </c>
      <c r="I12" s="9">
        <v>25000</v>
      </c>
      <c r="J12" s="9">
        <v>120000</v>
      </c>
      <c r="K12" s="8" t="s">
        <v>73</v>
      </c>
      <c r="L12" s="5" t="s">
        <v>22</v>
      </c>
      <c r="M12" s="10" t="s">
        <v>30</v>
      </c>
      <c r="N12" s="7" t="s">
        <v>24</v>
      </c>
    </row>
    <row r="13" spans="1:14" ht="20" customHeight="1">
      <c r="A13" s="3">
        <v>11</v>
      </c>
      <c r="B13" s="3" t="s">
        <v>74</v>
      </c>
      <c r="C13" s="3" t="s">
        <v>75</v>
      </c>
      <c r="D13" s="3" t="s">
        <v>71</v>
      </c>
      <c r="E13" s="3" t="s">
        <v>72</v>
      </c>
      <c r="F13" s="3" t="s">
        <v>35</v>
      </c>
      <c r="G13" s="3" t="s">
        <v>28</v>
      </c>
      <c r="H13" s="4">
        <v>60000</v>
      </c>
      <c r="I13" s="4">
        <v>20000</v>
      </c>
      <c r="J13" s="4">
        <v>80000</v>
      </c>
      <c r="K13" s="3" t="s">
        <v>76</v>
      </c>
      <c r="L13" s="5" t="s">
        <v>22</v>
      </c>
      <c r="M13" s="10" t="s">
        <v>30</v>
      </c>
      <c r="N13" s="11" t="s">
        <v>31</v>
      </c>
    </row>
    <row r="14" spans="1:14" ht="20" customHeight="1">
      <c r="A14" s="8">
        <v>12</v>
      </c>
      <c r="B14" s="8" t="s">
        <v>77</v>
      </c>
      <c r="C14" s="8" t="s">
        <v>78</v>
      </c>
      <c r="D14" s="8" t="s">
        <v>79</v>
      </c>
      <c r="E14" s="8" t="s">
        <v>47</v>
      </c>
      <c r="F14" s="8" t="s">
        <v>48</v>
      </c>
      <c r="G14" s="8" t="s">
        <v>80</v>
      </c>
      <c r="H14" s="9">
        <v>180000</v>
      </c>
      <c r="I14" s="9">
        <v>55000</v>
      </c>
      <c r="J14" s="9">
        <v>235000</v>
      </c>
      <c r="K14" s="8" t="s">
        <v>81</v>
      </c>
      <c r="L14" s="5" t="s">
        <v>22</v>
      </c>
      <c r="M14" s="12" t="s">
        <v>39</v>
      </c>
      <c r="N14" s="7" t="s">
        <v>24</v>
      </c>
    </row>
    <row r="15" spans="1:14" ht="20" customHeight="1">
      <c r="A15" s="3">
        <v>13</v>
      </c>
      <c r="B15" s="3" t="s">
        <v>82</v>
      </c>
      <c r="C15" s="3" t="s">
        <v>83</v>
      </c>
      <c r="D15" s="3" t="s">
        <v>84</v>
      </c>
      <c r="E15" s="3" t="s">
        <v>47</v>
      </c>
      <c r="F15" s="3" t="s">
        <v>35</v>
      </c>
      <c r="G15" s="3" t="s">
        <v>20</v>
      </c>
      <c r="H15" s="4">
        <v>95000</v>
      </c>
      <c r="I15" s="4">
        <v>45000</v>
      </c>
      <c r="J15" s="4">
        <v>140000</v>
      </c>
      <c r="K15" s="3" t="s">
        <v>85</v>
      </c>
      <c r="L15" s="10" t="s">
        <v>50</v>
      </c>
      <c r="M15" s="6" t="s">
        <v>23</v>
      </c>
      <c r="N15" s="13" t="s">
        <v>51</v>
      </c>
    </row>
    <row r="16" spans="1:14" ht="20" customHeight="1">
      <c r="A16" s="8">
        <v>14</v>
      </c>
      <c r="B16" s="8" t="s">
        <v>86</v>
      </c>
      <c r="C16" s="8" t="s">
        <v>86</v>
      </c>
      <c r="D16" s="8" t="s">
        <v>87</v>
      </c>
      <c r="E16" s="8" t="s">
        <v>72</v>
      </c>
      <c r="F16" s="8" t="s">
        <v>88</v>
      </c>
      <c r="G16" s="8" t="s">
        <v>89</v>
      </c>
      <c r="H16" s="9">
        <v>140000</v>
      </c>
      <c r="I16" s="9">
        <v>30000</v>
      </c>
      <c r="J16" s="9">
        <v>170000</v>
      </c>
      <c r="K16" s="8" t="s">
        <v>90</v>
      </c>
      <c r="L16" s="12" t="s">
        <v>38</v>
      </c>
      <c r="M16" s="12" t="s">
        <v>39</v>
      </c>
      <c r="N16" s="7" t="s">
        <v>24</v>
      </c>
    </row>
    <row r="17" spans="1:14" ht="20" customHeight="1">
      <c r="A17" s="3">
        <v>15</v>
      </c>
      <c r="B17" s="3" t="s">
        <v>91</v>
      </c>
      <c r="C17" s="3" t="s">
        <v>92</v>
      </c>
      <c r="D17" s="3" t="s">
        <v>93</v>
      </c>
      <c r="E17" s="3" t="s">
        <v>47</v>
      </c>
      <c r="F17" s="3" t="s">
        <v>88</v>
      </c>
      <c r="G17" s="3" t="s">
        <v>36</v>
      </c>
      <c r="H17" s="4">
        <v>75000</v>
      </c>
      <c r="I17" s="4">
        <v>65000</v>
      </c>
      <c r="J17" s="4">
        <v>140000</v>
      </c>
      <c r="K17" s="3" t="s">
        <v>94</v>
      </c>
      <c r="L17" s="5" t="s">
        <v>22</v>
      </c>
      <c r="M17" s="10" t="s">
        <v>30</v>
      </c>
      <c r="N17" s="11" t="s">
        <v>31</v>
      </c>
    </row>
    <row r="18" spans="1:14" ht="20" customHeight="1">
      <c r="A18" s="8">
        <v>16</v>
      </c>
      <c r="B18" s="8" t="s">
        <v>95</v>
      </c>
      <c r="C18" s="8" t="s">
        <v>96</v>
      </c>
      <c r="D18" s="8" t="s">
        <v>97</v>
      </c>
      <c r="E18" s="8" t="s">
        <v>47</v>
      </c>
      <c r="F18" s="8" t="s">
        <v>35</v>
      </c>
      <c r="G18" s="8" t="s">
        <v>28</v>
      </c>
      <c r="H18" s="9">
        <v>200000</v>
      </c>
      <c r="I18" s="9">
        <v>15000</v>
      </c>
      <c r="J18" s="9">
        <v>215000</v>
      </c>
      <c r="K18" s="8" t="s">
        <v>98</v>
      </c>
      <c r="L18" s="12" t="s">
        <v>38</v>
      </c>
      <c r="M18" s="6" t="s">
        <v>23</v>
      </c>
      <c r="N18" s="14" t="s">
        <v>99</v>
      </c>
    </row>
    <row r="19" spans="1:14" ht="20" customHeight="1">
      <c r="A19" s="3">
        <v>17</v>
      </c>
      <c r="B19" s="3" t="s">
        <v>100</v>
      </c>
      <c r="C19" s="3" t="s">
        <v>101</v>
      </c>
      <c r="D19" s="3" t="s">
        <v>102</v>
      </c>
      <c r="E19" s="3" t="s">
        <v>47</v>
      </c>
      <c r="F19" s="3" t="s">
        <v>103</v>
      </c>
      <c r="G19" s="3" t="s">
        <v>28</v>
      </c>
      <c r="H19" s="4">
        <v>120000</v>
      </c>
      <c r="I19" s="4">
        <v>15000</v>
      </c>
      <c r="J19" s="4">
        <v>135000</v>
      </c>
      <c r="K19" s="3" t="s">
        <v>104</v>
      </c>
      <c r="L19" s="5" t="s">
        <v>22</v>
      </c>
      <c r="M19" s="6" t="s">
        <v>23</v>
      </c>
      <c r="N19" s="7" t="s">
        <v>24</v>
      </c>
    </row>
    <row r="20" spans="1:14" ht="20" customHeight="1">
      <c r="A20" s="8">
        <v>18</v>
      </c>
      <c r="B20" s="8" t="s">
        <v>105</v>
      </c>
      <c r="C20" s="8" t="s">
        <v>106</v>
      </c>
      <c r="D20" s="8" t="s">
        <v>107</v>
      </c>
      <c r="E20" s="8" t="s">
        <v>108</v>
      </c>
      <c r="F20" s="8" t="s">
        <v>109</v>
      </c>
      <c r="G20" s="8" t="s">
        <v>20</v>
      </c>
      <c r="H20" s="9">
        <v>120000</v>
      </c>
      <c r="I20" s="9">
        <v>40000</v>
      </c>
      <c r="J20" s="9">
        <v>160000</v>
      </c>
      <c r="K20" s="8" t="s">
        <v>110</v>
      </c>
      <c r="L20" s="5" t="s">
        <v>22</v>
      </c>
      <c r="M20" s="12" t="s">
        <v>39</v>
      </c>
      <c r="N20" s="7" t="s">
        <v>24</v>
      </c>
    </row>
    <row r="21" spans="1:14" ht="20" customHeight="1">
      <c r="A21" s="3">
        <v>19</v>
      </c>
      <c r="B21" s="3" t="s">
        <v>111</v>
      </c>
      <c r="C21" s="3" t="s">
        <v>112</v>
      </c>
      <c r="D21" s="3" t="s">
        <v>113</v>
      </c>
      <c r="E21" s="3" t="s">
        <v>114</v>
      </c>
      <c r="F21" s="3" t="s">
        <v>19</v>
      </c>
      <c r="G21" s="3" t="s">
        <v>28</v>
      </c>
      <c r="H21" s="4">
        <v>85000</v>
      </c>
      <c r="I21" s="4">
        <v>30000</v>
      </c>
      <c r="J21" s="4">
        <v>115000</v>
      </c>
      <c r="K21" s="3" t="s">
        <v>29</v>
      </c>
      <c r="L21" s="5" t="s">
        <v>22</v>
      </c>
      <c r="M21" s="10" t="s">
        <v>30</v>
      </c>
      <c r="N21" s="11" t="s">
        <v>31</v>
      </c>
    </row>
    <row r="22" spans="1:14" ht="20" customHeight="1">
      <c r="A22" s="8">
        <v>20</v>
      </c>
      <c r="B22" s="8" t="s">
        <v>115</v>
      </c>
      <c r="C22" s="8" t="s">
        <v>115</v>
      </c>
      <c r="D22" s="8" t="s">
        <v>116</v>
      </c>
      <c r="E22" s="8" t="s">
        <v>114</v>
      </c>
      <c r="F22" s="8" t="s">
        <v>109</v>
      </c>
      <c r="G22" s="8" t="s">
        <v>28</v>
      </c>
      <c r="H22" s="9">
        <v>35000</v>
      </c>
      <c r="I22" s="9">
        <v>5000</v>
      </c>
      <c r="J22" s="9">
        <v>40000</v>
      </c>
      <c r="K22" s="8" t="s">
        <v>98</v>
      </c>
      <c r="L22" s="5" t="s">
        <v>22</v>
      </c>
      <c r="M22" s="6" t="s">
        <v>23</v>
      </c>
      <c r="N22" s="7" t="s">
        <v>24</v>
      </c>
    </row>
    <row r="23" spans="1:14" ht="20" customHeight="1">
      <c r="A23" s="3">
        <v>21</v>
      </c>
      <c r="B23" s="3" t="s">
        <v>117</v>
      </c>
      <c r="C23" s="3" t="s">
        <v>118</v>
      </c>
      <c r="D23" s="3" t="s">
        <v>119</v>
      </c>
      <c r="E23" s="3" t="s">
        <v>108</v>
      </c>
      <c r="F23" s="3" t="s">
        <v>109</v>
      </c>
      <c r="G23" s="3" t="s">
        <v>28</v>
      </c>
      <c r="H23" s="4">
        <v>35000</v>
      </c>
      <c r="I23" s="4">
        <v>10000</v>
      </c>
      <c r="J23" s="4">
        <v>45000</v>
      </c>
      <c r="K23" s="3" t="s">
        <v>21</v>
      </c>
      <c r="L23" s="5" t="s">
        <v>22</v>
      </c>
      <c r="M23" s="12" t="s">
        <v>39</v>
      </c>
      <c r="N23" s="7" t="s">
        <v>24</v>
      </c>
    </row>
    <row r="24" spans="1:14" ht="20" customHeight="1">
      <c r="A24" s="8">
        <v>22</v>
      </c>
      <c r="B24" s="8" t="s">
        <v>120</v>
      </c>
      <c r="C24" s="8" t="s">
        <v>121</v>
      </c>
      <c r="D24" s="8" t="s">
        <v>122</v>
      </c>
      <c r="E24" s="8" t="s">
        <v>18</v>
      </c>
      <c r="F24" s="8" t="s">
        <v>103</v>
      </c>
      <c r="G24" s="8" t="s">
        <v>28</v>
      </c>
      <c r="H24" s="9">
        <v>45000</v>
      </c>
      <c r="I24" s="9">
        <v>20000</v>
      </c>
      <c r="J24" s="9">
        <v>65000</v>
      </c>
      <c r="K24" s="8" t="s">
        <v>123</v>
      </c>
      <c r="L24" s="12" t="s">
        <v>38</v>
      </c>
      <c r="M24" s="6" t="s">
        <v>23</v>
      </c>
      <c r="N24" s="7" t="s">
        <v>24</v>
      </c>
    </row>
    <row r="25" spans="1:14" ht="22" customHeight="1">
      <c r="A25" s="15" t="s">
        <v>124</v>
      </c>
      <c r="B25" s="15"/>
      <c r="C25" s="15"/>
      <c r="D25" s="15"/>
      <c r="E25" s="15"/>
      <c r="F25" s="15"/>
      <c r="G25" s="15"/>
      <c r="H25" s="16">
        <v>3055000</v>
      </c>
      <c r="I25" s="16">
        <v>825000</v>
      </c>
      <c r="J25" s="16">
        <v>3880000</v>
      </c>
      <c r="K25" s="15" t="s">
        <v>125</v>
      </c>
      <c r="L25" s="15"/>
      <c r="M25" s="15"/>
      <c r="N25" s="15"/>
    </row>
    <row r="27" spans="1:14">
      <c r="A27" s="17" t="s">
        <v>126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>
      <c r="A28" s="18" t="s">
        <v>127</v>
      </c>
      <c r="B28" s="19" t="s">
        <v>38</v>
      </c>
      <c r="C28" s="20" t="s">
        <v>22</v>
      </c>
      <c r="D28" s="21" t="s">
        <v>50</v>
      </c>
    </row>
    <row r="29" spans="1:14">
      <c r="A29" s="18" t="s">
        <v>14</v>
      </c>
      <c r="B29" s="19" t="s">
        <v>24</v>
      </c>
      <c r="C29" s="21" t="s">
        <v>31</v>
      </c>
      <c r="D29" s="22" t="s">
        <v>128</v>
      </c>
      <c r="E29" s="23" t="s">
        <v>129</v>
      </c>
    </row>
    <row r="30" spans="1:14">
      <c r="A30" s="18" t="s">
        <v>13</v>
      </c>
      <c r="B30" s="21" t="s">
        <v>130</v>
      </c>
      <c r="C30" s="22" t="s">
        <v>131</v>
      </c>
      <c r="D30" s="19" t="s">
        <v>132</v>
      </c>
    </row>
  </sheetData>
  <mergeCells count="4">
    <mergeCell ref="A1:N1"/>
    <mergeCell ref="A25:G25"/>
    <mergeCell ref="K25:N25"/>
    <mergeCell ref="A27:N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94560"/>
  </sheetPr>
  <dimension ref="A1:K3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4.7109375" customWidth="1"/>
    <col min="2" max="2" width="32.7109375" customWidth="1"/>
    <col min="3" max="3" width="13.7109375" customWidth="1"/>
    <col min="4" max="4" width="14.7109375" customWidth="1"/>
    <col min="5" max="5" width="16.7109375" customWidth="1"/>
    <col min="6" max="6" width="13.7109375" customWidth="1"/>
    <col min="7" max="8" width="14.7109375" customWidth="1"/>
    <col min="9" max="9" width="11.7109375" customWidth="1"/>
    <col min="10" max="10" width="26.7109375" customWidth="1"/>
    <col min="11" max="11" width="18.7109375" customWidth="1"/>
  </cols>
  <sheetData>
    <row r="1" spans="1:11" ht="28" customHeight="1">
      <c r="A1" s="24" t="s">
        <v>133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6" customHeight="1">
      <c r="A2" s="25" t="s">
        <v>134</v>
      </c>
      <c r="B2" s="25"/>
      <c r="C2" s="25" t="s">
        <v>135</v>
      </c>
      <c r="D2" s="25" t="s">
        <v>136</v>
      </c>
      <c r="E2" s="25" t="s">
        <v>137</v>
      </c>
      <c r="F2" s="25" t="s">
        <v>138</v>
      </c>
      <c r="G2" s="25" t="s">
        <v>139</v>
      </c>
      <c r="H2" s="25" t="s">
        <v>140</v>
      </c>
      <c r="I2" s="25" t="s">
        <v>141</v>
      </c>
      <c r="J2" s="25"/>
      <c r="K2" s="25" t="s">
        <v>142</v>
      </c>
    </row>
    <row r="3" spans="1:11" ht="38" customHeight="1">
      <c r="A3" s="2" t="s">
        <v>1</v>
      </c>
      <c r="B3" s="2" t="s">
        <v>2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148</v>
      </c>
      <c r="I3" s="2" t="s">
        <v>149</v>
      </c>
      <c r="J3" s="2" t="s">
        <v>150</v>
      </c>
      <c r="K3" s="2" t="s">
        <v>14</v>
      </c>
    </row>
    <row r="4" spans="1:11" ht="20" customHeight="1">
      <c r="A4" s="26">
        <v>2</v>
      </c>
      <c r="B4" s="3" t="s">
        <v>25</v>
      </c>
      <c r="C4" s="26">
        <v>1</v>
      </c>
      <c r="D4" s="26">
        <v>2</v>
      </c>
      <c r="E4" s="26">
        <v>5</v>
      </c>
      <c r="F4" s="26">
        <v>3</v>
      </c>
      <c r="G4" s="26">
        <v>3</v>
      </c>
      <c r="H4" s="26">
        <v>2</v>
      </c>
      <c r="I4" s="27">
        <v>21</v>
      </c>
      <c r="J4" s="21" t="s">
        <v>151</v>
      </c>
      <c r="K4" s="11" t="s">
        <v>31</v>
      </c>
    </row>
    <row r="5" spans="1:11" ht="20" customHeight="1">
      <c r="A5" s="28">
        <v>8</v>
      </c>
      <c r="B5" s="29" t="s">
        <v>152</v>
      </c>
      <c r="C5" s="28">
        <v>1</v>
      </c>
      <c r="D5" s="28">
        <v>1</v>
      </c>
      <c r="E5" s="28">
        <v>5</v>
      </c>
      <c r="F5" s="28">
        <v>1</v>
      </c>
      <c r="G5" s="28">
        <v>1</v>
      </c>
      <c r="H5" s="28">
        <v>2</v>
      </c>
      <c r="I5" s="27">
        <v>21</v>
      </c>
      <c r="J5" s="21" t="s">
        <v>151</v>
      </c>
      <c r="K5" s="11" t="s">
        <v>31</v>
      </c>
    </row>
    <row r="6" spans="1:11" ht="20" customHeight="1">
      <c r="A6" s="26">
        <v>15</v>
      </c>
      <c r="B6" s="3" t="s">
        <v>153</v>
      </c>
      <c r="C6" s="26">
        <v>1</v>
      </c>
      <c r="D6" s="26">
        <v>1</v>
      </c>
      <c r="E6" s="26">
        <v>5</v>
      </c>
      <c r="F6" s="26">
        <v>3</v>
      </c>
      <c r="G6" s="26">
        <v>1</v>
      </c>
      <c r="H6" s="26">
        <v>2</v>
      </c>
      <c r="I6" s="27">
        <v>20</v>
      </c>
      <c r="J6" s="21" t="s">
        <v>151</v>
      </c>
      <c r="K6" s="11" t="s">
        <v>31</v>
      </c>
    </row>
    <row r="7" spans="1:11" ht="20" customHeight="1">
      <c r="A7" s="28">
        <v>4</v>
      </c>
      <c r="B7" s="29" t="s">
        <v>154</v>
      </c>
      <c r="C7" s="28">
        <v>1</v>
      </c>
      <c r="D7" s="28">
        <v>2</v>
      </c>
      <c r="E7" s="28">
        <v>5</v>
      </c>
      <c r="F7" s="28">
        <v>3</v>
      </c>
      <c r="G7" s="28">
        <v>2</v>
      </c>
      <c r="H7" s="28">
        <v>2</v>
      </c>
      <c r="I7" s="27">
        <v>20</v>
      </c>
      <c r="J7" s="21" t="s">
        <v>151</v>
      </c>
      <c r="K7" s="11" t="s">
        <v>31</v>
      </c>
    </row>
    <row r="8" spans="1:11" ht="20" customHeight="1">
      <c r="A8" s="26">
        <v>11</v>
      </c>
      <c r="B8" s="3" t="s">
        <v>74</v>
      </c>
      <c r="C8" s="26">
        <v>1</v>
      </c>
      <c r="D8" s="26">
        <v>3</v>
      </c>
      <c r="E8" s="26">
        <v>4</v>
      </c>
      <c r="F8" s="26">
        <v>3</v>
      </c>
      <c r="G8" s="26">
        <v>4</v>
      </c>
      <c r="H8" s="26">
        <v>2</v>
      </c>
      <c r="I8" s="30">
        <v>17</v>
      </c>
      <c r="J8" s="22" t="s">
        <v>155</v>
      </c>
      <c r="K8" s="13" t="s">
        <v>156</v>
      </c>
    </row>
    <row r="9" spans="1:11" ht="20" customHeight="1">
      <c r="A9" s="28">
        <v>5</v>
      </c>
      <c r="B9" s="29" t="s">
        <v>44</v>
      </c>
      <c r="C9" s="28">
        <v>2</v>
      </c>
      <c r="D9" s="28">
        <v>3</v>
      </c>
      <c r="E9" s="28">
        <v>4</v>
      </c>
      <c r="F9" s="28">
        <v>1</v>
      </c>
      <c r="G9" s="28">
        <v>3</v>
      </c>
      <c r="H9" s="28">
        <v>3</v>
      </c>
      <c r="I9" s="30">
        <v>17</v>
      </c>
      <c r="J9" s="22" t="s">
        <v>155</v>
      </c>
      <c r="K9" s="13" t="s">
        <v>51</v>
      </c>
    </row>
    <row r="10" spans="1:11" ht="20" customHeight="1">
      <c r="A10" s="26">
        <v>19</v>
      </c>
      <c r="B10" s="3" t="s">
        <v>111</v>
      </c>
      <c r="C10" s="26">
        <v>2</v>
      </c>
      <c r="D10" s="26">
        <v>3</v>
      </c>
      <c r="E10" s="26">
        <v>4</v>
      </c>
      <c r="F10" s="26">
        <v>3</v>
      </c>
      <c r="G10" s="26">
        <v>3</v>
      </c>
      <c r="H10" s="26">
        <v>2</v>
      </c>
      <c r="I10" s="30">
        <v>16</v>
      </c>
      <c r="J10" s="22" t="s">
        <v>155</v>
      </c>
      <c r="K10" s="13" t="s">
        <v>156</v>
      </c>
    </row>
    <row r="11" spans="1:11" ht="20" customHeight="1">
      <c r="A11" s="28">
        <v>13</v>
      </c>
      <c r="B11" s="29" t="s">
        <v>82</v>
      </c>
      <c r="C11" s="28">
        <v>2</v>
      </c>
      <c r="D11" s="28">
        <v>2</v>
      </c>
      <c r="E11" s="28">
        <v>3</v>
      </c>
      <c r="F11" s="28">
        <v>1</v>
      </c>
      <c r="G11" s="28">
        <v>2</v>
      </c>
      <c r="H11" s="28">
        <v>3</v>
      </c>
      <c r="I11" s="30">
        <v>15</v>
      </c>
      <c r="J11" s="22" t="s">
        <v>155</v>
      </c>
      <c r="K11" s="13" t="s">
        <v>51</v>
      </c>
    </row>
    <row r="12" spans="1:11" ht="20" customHeight="1">
      <c r="A12" s="26">
        <v>10</v>
      </c>
      <c r="B12" s="3" t="s">
        <v>69</v>
      </c>
      <c r="C12" s="26">
        <v>3</v>
      </c>
      <c r="D12" s="26">
        <v>3</v>
      </c>
      <c r="E12" s="26">
        <v>3</v>
      </c>
      <c r="F12" s="26">
        <v>3</v>
      </c>
      <c r="G12" s="26">
        <v>3</v>
      </c>
      <c r="H12" s="26">
        <v>3</v>
      </c>
      <c r="I12" s="31">
        <v>10</v>
      </c>
      <c r="J12" s="32" t="s">
        <v>157</v>
      </c>
      <c r="K12" s="7" t="s">
        <v>24</v>
      </c>
    </row>
    <row r="13" spans="1:11" ht="20" customHeight="1">
      <c r="A13" s="28">
        <v>1</v>
      </c>
      <c r="B13" s="29" t="s">
        <v>158</v>
      </c>
      <c r="C13" s="28">
        <v>3</v>
      </c>
      <c r="D13" s="28">
        <v>2</v>
      </c>
      <c r="E13" s="28">
        <v>2</v>
      </c>
      <c r="F13" s="28">
        <v>3</v>
      </c>
      <c r="G13" s="28">
        <v>2</v>
      </c>
      <c r="H13" s="28">
        <v>4</v>
      </c>
      <c r="I13" s="31">
        <v>9</v>
      </c>
      <c r="J13" s="32" t="s">
        <v>157</v>
      </c>
      <c r="K13" s="7" t="s">
        <v>24</v>
      </c>
    </row>
    <row r="14" spans="1:11" ht="20" customHeight="1">
      <c r="A14" s="26">
        <v>6</v>
      </c>
      <c r="B14" s="3" t="s">
        <v>52</v>
      </c>
      <c r="C14" s="26">
        <v>4</v>
      </c>
      <c r="D14" s="26">
        <v>3</v>
      </c>
      <c r="E14" s="26">
        <v>2</v>
      </c>
      <c r="F14" s="26">
        <v>5</v>
      </c>
      <c r="G14" s="26">
        <v>4</v>
      </c>
      <c r="H14" s="26">
        <v>3</v>
      </c>
      <c r="I14" s="33">
        <v>7</v>
      </c>
      <c r="J14" s="19" t="s">
        <v>24</v>
      </c>
      <c r="K14" s="7" t="s">
        <v>24</v>
      </c>
    </row>
    <row r="15" spans="1:11" ht="20" customHeight="1">
      <c r="A15" s="28">
        <v>7</v>
      </c>
      <c r="B15" s="29" t="s">
        <v>159</v>
      </c>
      <c r="C15" s="28">
        <v>4</v>
      </c>
      <c r="D15" s="28">
        <v>3</v>
      </c>
      <c r="E15" s="28">
        <v>2</v>
      </c>
      <c r="F15" s="28">
        <v>5</v>
      </c>
      <c r="G15" s="28">
        <v>4</v>
      </c>
      <c r="H15" s="28">
        <v>4</v>
      </c>
      <c r="I15" s="33">
        <v>6</v>
      </c>
      <c r="J15" s="19" t="s">
        <v>24</v>
      </c>
      <c r="K15" s="7" t="s">
        <v>24</v>
      </c>
    </row>
    <row r="16" spans="1:11" ht="20" customHeight="1">
      <c r="A16" s="26">
        <v>9</v>
      </c>
      <c r="B16" s="3" t="s">
        <v>160</v>
      </c>
      <c r="C16" s="26">
        <v>5</v>
      </c>
      <c r="D16" s="26">
        <v>3</v>
      </c>
      <c r="E16" s="26">
        <v>2</v>
      </c>
      <c r="F16" s="26">
        <v>5</v>
      </c>
      <c r="G16" s="26">
        <v>3</v>
      </c>
      <c r="H16" s="26">
        <v>4</v>
      </c>
      <c r="I16" s="33">
        <v>5</v>
      </c>
      <c r="J16" s="19" t="s">
        <v>24</v>
      </c>
      <c r="K16" s="7" t="s">
        <v>24</v>
      </c>
    </row>
    <row r="17" spans="1:11" ht="20" customHeight="1">
      <c r="A17" s="28">
        <v>3</v>
      </c>
      <c r="B17" s="29" t="s">
        <v>161</v>
      </c>
      <c r="C17" s="28">
        <v>4</v>
      </c>
      <c r="D17" s="28">
        <v>3</v>
      </c>
      <c r="E17" s="28">
        <v>2</v>
      </c>
      <c r="F17" s="28">
        <v>5</v>
      </c>
      <c r="G17" s="28">
        <v>4</v>
      </c>
      <c r="H17" s="28">
        <v>4</v>
      </c>
      <c r="I17" s="33">
        <v>5</v>
      </c>
      <c r="J17" s="19" t="s">
        <v>24</v>
      </c>
      <c r="K17" s="7" t="s">
        <v>24</v>
      </c>
    </row>
    <row r="18" spans="1:11" ht="20" customHeight="1">
      <c r="A18" s="26">
        <v>12</v>
      </c>
      <c r="B18" s="3" t="s">
        <v>162</v>
      </c>
      <c r="C18" s="26">
        <v>4</v>
      </c>
      <c r="D18" s="26">
        <v>3</v>
      </c>
      <c r="E18" s="26">
        <v>2</v>
      </c>
      <c r="F18" s="26">
        <v>3</v>
      </c>
      <c r="G18" s="26">
        <v>2</v>
      </c>
      <c r="H18" s="26">
        <v>4</v>
      </c>
      <c r="I18" s="33">
        <v>5</v>
      </c>
      <c r="J18" s="19" t="s">
        <v>24</v>
      </c>
      <c r="K18" s="7" t="s">
        <v>24</v>
      </c>
    </row>
    <row r="19" spans="1:11" ht="20" customHeight="1">
      <c r="A19" s="28">
        <v>14</v>
      </c>
      <c r="B19" s="29" t="s">
        <v>86</v>
      </c>
      <c r="C19" s="28">
        <v>4</v>
      </c>
      <c r="D19" s="28">
        <v>3</v>
      </c>
      <c r="E19" s="28">
        <v>2</v>
      </c>
      <c r="F19" s="28">
        <v>4</v>
      </c>
      <c r="G19" s="28">
        <v>3</v>
      </c>
      <c r="H19" s="28">
        <v>3</v>
      </c>
      <c r="I19" s="33">
        <v>5</v>
      </c>
      <c r="J19" s="19" t="s">
        <v>24</v>
      </c>
      <c r="K19" s="7" t="s">
        <v>24</v>
      </c>
    </row>
    <row r="20" spans="1:11" ht="20" customHeight="1">
      <c r="A20" s="26">
        <v>17</v>
      </c>
      <c r="B20" s="3" t="s">
        <v>100</v>
      </c>
      <c r="C20" s="26">
        <v>3</v>
      </c>
      <c r="D20" s="26">
        <v>3</v>
      </c>
      <c r="E20" s="26">
        <v>3</v>
      </c>
      <c r="F20" s="26">
        <v>3</v>
      </c>
      <c r="G20" s="26">
        <v>4</v>
      </c>
      <c r="H20" s="26">
        <v>3</v>
      </c>
      <c r="I20" s="33">
        <v>5</v>
      </c>
      <c r="J20" s="19" t="s">
        <v>24</v>
      </c>
      <c r="K20" s="7" t="s">
        <v>24</v>
      </c>
    </row>
    <row r="21" spans="1:11" ht="20" customHeight="1">
      <c r="A21" s="28">
        <v>16</v>
      </c>
      <c r="B21" s="29" t="s">
        <v>95</v>
      </c>
      <c r="C21" s="28">
        <v>4</v>
      </c>
      <c r="D21" s="28">
        <v>4</v>
      </c>
      <c r="E21" s="28">
        <v>5</v>
      </c>
      <c r="F21" s="28">
        <v>4</v>
      </c>
      <c r="G21" s="28">
        <v>5</v>
      </c>
      <c r="H21" s="28">
        <v>4</v>
      </c>
      <c r="I21" s="33">
        <v>4</v>
      </c>
      <c r="J21" s="19" t="s">
        <v>24</v>
      </c>
      <c r="K21" s="14" t="s">
        <v>99</v>
      </c>
    </row>
    <row r="22" spans="1:11" ht="20" customHeight="1">
      <c r="A22" s="26">
        <v>22</v>
      </c>
      <c r="B22" s="3" t="s">
        <v>163</v>
      </c>
      <c r="C22" s="26">
        <v>4</v>
      </c>
      <c r="D22" s="26">
        <v>5</v>
      </c>
      <c r="E22" s="26">
        <v>3</v>
      </c>
      <c r="F22" s="26">
        <v>4</v>
      </c>
      <c r="G22" s="26">
        <v>5</v>
      </c>
      <c r="H22" s="26">
        <v>3</v>
      </c>
      <c r="I22" s="33">
        <v>4</v>
      </c>
      <c r="J22" s="19" t="s">
        <v>24</v>
      </c>
      <c r="K22" s="7" t="s">
        <v>24</v>
      </c>
    </row>
    <row r="23" spans="1:11" ht="20" customHeight="1">
      <c r="A23" s="28">
        <v>18</v>
      </c>
      <c r="B23" s="29" t="s">
        <v>105</v>
      </c>
      <c r="C23" s="28">
        <v>4</v>
      </c>
      <c r="D23" s="28">
        <v>3</v>
      </c>
      <c r="E23" s="28">
        <v>1</v>
      </c>
      <c r="F23" s="28">
        <v>3</v>
      </c>
      <c r="G23" s="28">
        <v>2</v>
      </c>
      <c r="H23" s="28">
        <v>4</v>
      </c>
      <c r="I23" s="33">
        <v>3</v>
      </c>
      <c r="J23" s="19" t="s">
        <v>24</v>
      </c>
      <c r="K23" s="7" t="s">
        <v>24</v>
      </c>
    </row>
    <row r="24" spans="1:11" ht="20" customHeight="1">
      <c r="A24" s="26">
        <v>21</v>
      </c>
      <c r="B24" s="3" t="s">
        <v>117</v>
      </c>
      <c r="C24" s="26">
        <v>4</v>
      </c>
      <c r="D24" s="26">
        <v>4</v>
      </c>
      <c r="E24" s="26">
        <v>2</v>
      </c>
      <c r="F24" s="26">
        <v>3</v>
      </c>
      <c r="G24" s="26">
        <v>4</v>
      </c>
      <c r="H24" s="26">
        <v>2</v>
      </c>
      <c r="I24" s="33">
        <v>3</v>
      </c>
      <c r="J24" s="19" t="s">
        <v>24</v>
      </c>
      <c r="K24" s="7" t="s">
        <v>24</v>
      </c>
    </row>
    <row r="25" spans="1:11" ht="20" customHeight="1">
      <c r="A25" s="28">
        <v>20</v>
      </c>
      <c r="B25" s="29" t="s">
        <v>115</v>
      </c>
      <c r="C25" s="28">
        <v>3</v>
      </c>
      <c r="D25" s="28">
        <v>4</v>
      </c>
      <c r="E25" s="28">
        <v>3</v>
      </c>
      <c r="F25" s="28">
        <v>3</v>
      </c>
      <c r="G25" s="28">
        <v>5</v>
      </c>
      <c r="H25" s="28">
        <v>2</v>
      </c>
      <c r="I25" s="33">
        <v>3</v>
      </c>
      <c r="J25" s="19" t="s">
        <v>24</v>
      </c>
      <c r="K25" s="7" t="s">
        <v>24</v>
      </c>
    </row>
    <row r="27" spans="1:11">
      <c r="A27" s="17" t="s">
        <v>164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34" t="s">
        <v>165</v>
      </c>
      <c r="B28" s="11" t="s">
        <v>151</v>
      </c>
      <c r="C28" s="35" t="s">
        <v>166</v>
      </c>
      <c r="D28" s="35"/>
      <c r="E28" s="35"/>
      <c r="F28" s="35"/>
      <c r="G28" s="35"/>
      <c r="H28" s="35"/>
      <c r="I28" s="35"/>
      <c r="J28" s="35"/>
      <c r="K28" s="35"/>
    </row>
    <row r="29" spans="1:11">
      <c r="A29" s="36" t="s">
        <v>167</v>
      </c>
      <c r="B29" s="13" t="s">
        <v>168</v>
      </c>
      <c r="C29" s="35" t="s">
        <v>169</v>
      </c>
      <c r="D29" s="35"/>
      <c r="E29" s="35"/>
      <c r="F29" s="35"/>
      <c r="G29" s="35"/>
      <c r="H29" s="35"/>
      <c r="I29" s="35"/>
      <c r="J29" s="35"/>
      <c r="K29" s="35"/>
    </row>
    <row r="30" spans="1:11">
      <c r="A30" s="37" t="s">
        <v>170</v>
      </c>
      <c r="B30" s="38" t="s">
        <v>157</v>
      </c>
      <c r="C30" s="35" t="s">
        <v>171</v>
      </c>
      <c r="D30" s="35"/>
      <c r="E30" s="35"/>
      <c r="F30" s="35"/>
      <c r="G30" s="35"/>
      <c r="H30" s="35"/>
      <c r="I30" s="35"/>
      <c r="J30" s="35"/>
      <c r="K30" s="35"/>
    </row>
    <row r="31" spans="1:11">
      <c r="A31" s="39" t="s">
        <v>172</v>
      </c>
      <c r="B31" s="7" t="s">
        <v>24</v>
      </c>
      <c r="C31" s="35" t="s">
        <v>173</v>
      </c>
      <c r="D31" s="35"/>
      <c r="E31" s="35"/>
      <c r="F31" s="35"/>
      <c r="G31" s="35"/>
      <c r="H31" s="35"/>
      <c r="I31" s="35"/>
      <c r="J31" s="35"/>
      <c r="K31" s="35"/>
    </row>
  </sheetData>
  <mergeCells count="8">
    <mergeCell ref="A1:K1"/>
    <mergeCell ref="A2:B2"/>
    <mergeCell ref="I2:J2"/>
    <mergeCell ref="A27:K27"/>
    <mergeCell ref="C28:K28"/>
    <mergeCell ref="C29:K29"/>
    <mergeCell ref="C30:K30"/>
    <mergeCell ref="C31:K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B59B6"/>
  </sheetPr>
  <dimension ref="A1:H17"/>
  <sheetViews>
    <sheetView workbookViewId="0"/>
  </sheetViews>
  <sheetFormatPr defaultRowHeight="15"/>
  <cols>
    <col min="1" max="1" width="14.7109375" customWidth="1"/>
    <col min="2" max="7" width="18.7109375" customWidth="1"/>
    <col min="8" max="8" width="30.7109375" customWidth="1"/>
  </cols>
  <sheetData>
    <row r="1" spans="1:8" ht="28" customHeight="1">
      <c r="A1" s="1" t="s">
        <v>174</v>
      </c>
      <c r="B1" s="1"/>
      <c r="C1" s="1"/>
      <c r="D1" s="1"/>
      <c r="E1" s="1"/>
      <c r="F1" s="1"/>
      <c r="G1" s="1"/>
      <c r="H1" s="1"/>
    </row>
    <row r="2" spans="1:8" ht="36" customHeight="1">
      <c r="A2" s="40" t="s">
        <v>175</v>
      </c>
      <c r="B2" s="40" t="s">
        <v>59</v>
      </c>
      <c r="C2" s="40" t="s">
        <v>35</v>
      </c>
      <c r="D2" s="40" t="s">
        <v>48</v>
      </c>
      <c r="E2" s="40" t="s">
        <v>176</v>
      </c>
      <c r="F2" s="40" t="s">
        <v>88</v>
      </c>
      <c r="G2" s="40" t="s">
        <v>19</v>
      </c>
      <c r="H2" s="40" t="s">
        <v>177</v>
      </c>
    </row>
    <row r="3" spans="1:8" ht="30" customHeight="1">
      <c r="A3" s="41" t="s">
        <v>108</v>
      </c>
      <c r="B3" s="42" t="s">
        <v>178</v>
      </c>
      <c r="C3" s="42" t="s">
        <v>178</v>
      </c>
      <c r="D3" s="42" t="s">
        <v>178</v>
      </c>
      <c r="E3" s="42" t="s">
        <v>178</v>
      </c>
      <c r="F3" s="42" t="s">
        <v>178</v>
      </c>
      <c r="G3" s="42" t="s">
        <v>178</v>
      </c>
      <c r="H3" s="43" t="s">
        <v>179</v>
      </c>
    </row>
    <row r="4" spans="1:8" ht="30" customHeight="1">
      <c r="A4" s="41" t="s">
        <v>72</v>
      </c>
      <c r="B4" s="42" t="s">
        <v>178</v>
      </c>
      <c r="C4" s="44" t="s">
        <v>180</v>
      </c>
      <c r="D4" s="42" t="s">
        <v>178</v>
      </c>
      <c r="E4" s="42" t="s">
        <v>178</v>
      </c>
      <c r="F4" s="45" t="s">
        <v>181</v>
      </c>
      <c r="G4" s="46" t="s">
        <v>182</v>
      </c>
      <c r="H4" s="43" t="s">
        <v>183</v>
      </c>
    </row>
    <row r="5" spans="1:8" ht="30" customHeight="1">
      <c r="A5" s="41" t="s">
        <v>47</v>
      </c>
      <c r="B5" s="44" t="s">
        <v>180</v>
      </c>
      <c r="C5" s="44" t="s">
        <v>180</v>
      </c>
      <c r="D5" s="44" t="s">
        <v>180</v>
      </c>
      <c r="E5" s="45" t="s">
        <v>181</v>
      </c>
      <c r="F5" s="44" t="s">
        <v>180</v>
      </c>
      <c r="G5" s="42" t="s">
        <v>178</v>
      </c>
      <c r="H5" s="43" t="s">
        <v>184</v>
      </c>
    </row>
    <row r="6" spans="1:8" ht="30" customHeight="1">
      <c r="A6" s="41" t="s">
        <v>18</v>
      </c>
      <c r="B6" s="42" t="s">
        <v>178</v>
      </c>
      <c r="C6" s="45" t="s">
        <v>181</v>
      </c>
      <c r="D6" s="42" t="s">
        <v>178</v>
      </c>
      <c r="E6" s="46" t="s">
        <v>182</v>
      </c>
      <c r="F6" s="42" t="s">
        <v>178</v>
      </c>
      <c r="G6" s="45" t="s">
        <v>181</v>
      </c>
      <c r="H6" s="43" t="s">
        <v>185</v>
      </c>
    </row>
    <row r="7" spans="1:8" ht="30" customHeight="1">
      <c r="A7" s="41" t="s">
        <v>114</v>
      </c>
      <c r="B7" s="45" t="s">
        <v>181</v>
      </c>
      <c r="C7" s="42" t="s">
        <v>178</v>
      </c>
      <c r="D7" s="46" t="s">
        <v>182</v>
      </c>
      <c r="E7" s="42" t="s">
        <v>178</v>
      </c>
      <c r="F7" s="42" t="s">
        <v>178</v>
      </c>
      <c r="G7" s="45" t="s">
        <v>181</v>
      </c>
      <c r="H7" s="43" t="s">
        <v>186</v>
      </c>
    </row>
    <row r="8" spans="1:8" ht="30" customHeight="1">
      <c r="A8" s="41" t="s">
        <v>187</v>
      </c>
      <c r="B8" s="34" t="s">
        <v>188</v>
      </c>
      <c r="C8" s="34" t="s">
        <v>188</v>
      </c>
      <c r="D8" s="34" t="s">
        <v>188</v>
      </c>
      <c r="E8" s="34" t="s">
        <v>188</v>
      </c>
      <c r="F8" s="34" t="s">
        <v>188</v>
      </c>
      <c r="G8" s="34" t="s">
        <v>188</v>
      </c>
      <c r="H8" s="43" t="s">
        <v>189</v>
      </c>
    </row>
    <row r="10" spans="1:8">
      <c r="A10" s="47" t="s">
        <v>126</v>
      </c>
      <c r="B10" s="47"/>
      <c r="C10" s="47"/>
      <c r="D10" s="47"/>
      <c r="E10" s="47"/>
      <c r="F10" s="47"/>
      <c r="G10" s="47"/>
      <c r="H10" s="47"/>
    </row>
    <row r="11" spans="1:8">
      <c r="A11" s="14" t="s">
        <v>180</v>
      </c>
      <c r="B11" s="35" t="s">
        <v>190</v>
      </c>
      <c r="C11" s="35"/>
      <c r="D11" s="35"/>
      <c r="E11" s="35"/>
      <c r="F11" s="35"/>
      <c r="G11" s="35"/>
      <c r="H11" s="35"/>
    </row>
    <row r="12" spans="1:8">
      <c r="A12" s="7" t="s">
        <v>181</v>
      </c>
      <c r="B12" s="35" t="s">
        <v>191</v>
      </c>
      <c r="C12" s="35"/>
      <c r="D12" s="35"/>
      <c r="E12" s="35"/>
      <c r="F12" s="35"/>
      <c r="G12" s="35"/>
      <c r="H12" s="35"/>
    </row>
    <row r="13" spans="1:8">
      <c r="A13" s="13" t="s">
        <v>192</v>
      </c>
      <c r="B13" s="35" t="s">
        <v>193</v>
      </c>
      <c r="C13" s="35"/>
      <c r="D13" s="35"/>
      <c r="E13" s="35"/>
      <c r="F13" s="35"/>
      <c r="G13" s="35"/>
      <c r="H13" s="35"/>
    </row>
    <row r="14" spans="1:8">
      <c r="A14" s="11" t="s">
        <v>188</v>
      </c>
      <c r="B14" s="35" t="s">
        <v>194</v>
      </c>
      <c r="C14" s="35"/>
      <c r="D14" s="35"/>
      <c r="E14" s="35"/>
      <c r="F14" s="35"/>
      <c r="G14" s="35"/>
      <c r="H14" s="35"/>
    </row>
    <row r="15" spans="1:8">
      <c r="A15" s="48" t="s">
        <v>178</v>
      </c>
      <c r="B15" s="35" t="s">
        <v>195</v>
      </c>
      <c r="C15" s="35"/>
      <c r="D15" s="35"/>
      <c r="E15" s="35"/>
      <c r="F15" s="35"/>
      <c r="G15" s="35"/>
      <c r="H15" s="35"/>
    </row>
    <row r="17" spans="1:8" ht="36" customHeight="1">
      <c r="A17" s="49" t="s">
        <v>196</v>
      </c>
      <c r="B17" s="49"/>
      <c r="C17" s="49"/>
      <c r="D17" s="49"/>
      <c r="E17" s="49"/>
      <c r="F17" s="49"/>
      <c r="G17" s="49"/>
      <c r="H17" s="49"/>
    </row>
  </sheetData>
  <mergeCells count="8">
    <mergeCell ref="A1:H1"/>
    <mergeCell ref="A10:H10"/>
    <mergeCell ref="B11:H11"/>
    <mergeCell ref="B12:H12"/>
    <mergeCell ref="B13:H13"/>
    <mergeCell ref="B14:H14"/>
    <mergeCell ref="B15:H15"/>
    <mergeCell ref="A17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BCB77"/>
  </sheetPr>
  <dimension ref="A1:E17"/>
  <sheetViews>
    <sheetView zoomScale="95" zoomScaleNormal="95" workbookViewId="0"/>
  </sheetViews>
  <sheetFormatPr defaultRowHeight="15"/>
  <cols>
    <col min="1" max="1" width="26.7109375" customWidth="1"/>
    <col min="2" max="5" width="22.7109375" customWidth="1"/>
  </cols>
  <sheetData>
    <row r="1" spans="1:5" ht="28" customHeight="1">
      <c r="A1" s="1" t="s">
        <v>197</v>
      </c>
      <c r="B1" s="1"/>
      <c r="C1" s="1"/>
      <c r="D1" s="1"/>
      <c r="E1" s="1"/>
    </row>
    <row r="2" spans="1:5" ht="42" customHeight="1">
      <c r="A2" s="50" t="s">
        <v>198</v>
      </c>
      <c r="B2" s="51" t="s">
        <v>199</v>
      </c>
      <c r="C2" s="51" t="s">
        <v>200</v>
      </c>
      <c r="D2" s="51" t="s">
        <v>201</v>
      </c>
      <c r="E2" s="51" t="s">
        <v>202</v>
      </c>
    </row>
    <row r="3" spans="1:5" ht="22" customHeight="1">
      <c r="A3" s="17" t="s">
        <v>203</v>
      </c>
      <c r="B3" s="17"/>
      <c r="C3" s="17"/>
      <c r="D3" s="17"/>
      <c r="E3" s="17"/>
    </row>
    <row r="4" spans="1:5" ht="22" customHeight="1">
      <c r="A4" s="50" t="s">
        <v>204</v>
      </c>
      <c r="B4" s="52">
        <v>22</v>
      </c>
      <c r="C4" s="53">
        <v>16</v>
      </c>
      <c r="D4" s="53">
        <v>14</v>
      </c>
      <c r="E4" s="53">
        <v>12</v>
      </c>
    </row>
    <row r="5" spans="1:5" ht="22" customHeight="1">
      <c r="A5" s="50" t="s">
        <v>205</v>
      </c>
      <c r="B5" s="54">
        <v>18</v>
      </c>
      <c r="C5" s="53">
        <v>14</v>
      </c>
      <c r="D5" s="53">
        <v>14</v>
      </c>
      <c r="E5" s="53">
        <v>11</v>
      </c>
    </row>
    <row r="6" spans="1:5" ht="22" customHeight="1">
      <c r="A6" s="50" t="s">
        <v>206</v>
      </c>
      <c r="B6" s="52">
        <v>3</v>
      </c>
      <c r="C6" s="53">
        <v>2</v>
      </c>
      <c r="D6" s="53">
        <v>0</v>
      </c>
      <c r="E6" s="53">
        <v>0</v>
      </c>
    </row>
    <row r="7" spans="1:5" ht="22" customHeight="1">
      <c r="A7" s="50" t="s">
        <v>207</v>
      </c>
      <c r="B7" s="54">
        <v>6</v>
      </c>
      <c r="C7" s="53">
        <v>5</v>
      </c>
      <c r="D7" s="53">
        <v>2</v>
      </c>
      <c r="E7" s="53">
        <v>0</v>
      </c>
    </row>
    <row r="8" spans="1:5" ht="22" customHeight="1">
      <c r="A8" s="17" t="s">
        <v>208</v>
      </c>
      <c r="B8" s="17"/>
      <c r="C8" s="17"/>
      <c r="D8" s="17"/>
      <c r="E8" s="17"/>
    </row>
    <row r="9" spans="1:5" ht="22" customHeight="1">
      <c r="A9" s="50" t="s">
        <v>209</v>
      </c>
      <c r="B9" s="55">
        <v>3780</v>
      </c>
      <c r="C9" s="55">
        <v>3030</v>
      </c>
      <c r="D9" s="55">
        <v>3190</v>
      </c>
      <c r="E9" s="55">
        <v>2350</v>
      </c>
    </row>
    <row r="10" spans="1:5" ht="22" customHeight="1">
      <c r="A10" s="50" t="s">
        <v>210</v>
      </c>
      <c r="B10" s="52" t="s">
        <v>109</v>
      </c>
      <c r="C10" s="56">
        <v>750</v>
      </c>
      <c r="D10" s="56">
        <v>590</v>
      </c>
      <c r="E10" s="56">
        <v>1430</v>
      </c>
    </row>
    <row r="11" spans="1:5" ht="22" customHeight="1">
      <c r="A11" s="17" t="s">
        <v>211</v>
      </c>
      <c r="B11" s="17"/>
      <c r="C11" s="17"/>
      <c r="D11" s="17"/>
      <c r="E11" s="17"/>
    </row>
    <row r="12" spans="1:5" ht="22" customHeight="1">
      <c r="A12" s="50" t="s">
        <v>212</v>
      </c>
      <c r="B12" s="57" t="s">
        <v>213</v>
      </c>
      <c r="C12" s="57" t="s">
        <v>213</v>
      </c>
      <c r="D12" s="58" t="s">
        <v>214</v>
      </c>
      <c r="E12" s="58" t="s">
        <v>214</v>
      </c>
    </row>
    <row r="13" spans="1:5" ht="22" customHeight="1">
      <c r="A13" s="50" t="s">
        <v>215</v>
      </c>
      <c r="B13" s="57" t="s">
        <v>213</v>
      </c>
      <c r="C13" s="57" t="s">
        <v>213</v>
      </c>
      <c r="D13" s="58" t="s">
        <v>214</v>
      </c>
      <c r="E13" s="58" t="s">
        <v>214</v>
      </c>
    </row>
    <row r="14" spans="1:5" ht="22" customHeight="1">
      <c r="A14" s="50" t="s">
        <v>216</v>
      </c>
      <c r="B14" s="59" t="s">
        <v>217</v>
      </c>
      <c r="C14" s="59" t="s">
        <v>217</v>
      </c>
      <c r="D14" s="57" t="s">
        <v>213</v>
      </c>
      <c r="E14" s="57" t="s">
        <v>213</v>
      </c>
    </row>
    <row r="15" spans="1:5" ht="22" customHeight="1">
      <c r="A15" s="50" t="s">
        <v>218</v>
      </c>
      <c r="B15" s="57" t="s">
        <v>213</v>
      </c>
      <c r="C15" s="57" t="s">
        <v>213</v>
      </c>
      <c r="D15" s="57" t="s">
        <v>213</v>
      </c>
      <c r="E15" s="58" t="s">
        <v>214</v>
      </c>
    </row>
    <row r="16" spans="1:5" ht="22" customHeight="1">
      <c r="A16" s="50" t="s">
        <v>219</v>
      </c>
      <c r="B16" s="59" t="s">
        <v>217</v>
      </c>
      <c r="C16" s="57" t="s">
        <v>213</v>
      </c>
      <c r="D16" s="57" t="s">
        <v>213</v>
      </c>
      <c r="E16" s="57" t="s">
        <v>213</v>
      </c>
    </row>
    <row r="17" spans="1:5" ht="22" customHeight="1">
      <c r="A17" s="50" t="s">
        <v>19</v>
      </c>
      <c r="B17" s="57" t="s">
        <v>213</v>
      </c>
      <c r="C17" s="58" t="s">
        <v>214</v>
      </c>
      <c r="D17" s="58" t="s">
        <v>214</v>
      </c>
      <c r="E17" s="60" t="s">
        <v>220</v>
      </c>
    </row>
  </sheetData>
  <mergeCells count="4">
    <mergeCell ref="A1:E1"/>
    <mergeCell ref="A3:E3"/>
    <mergeCell ref="A8:E8"/>
    <mergeCell ref="A11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B347"/>
  </sheetPr>
  <dimension ref="A1:F23"/>
  <sheetViews>
    <sheetView zoomScale="95" zoomScaleNormal="95" workbookViewId="0"/>
  </sheetViews>
  <sheetFormatPr defaultRowHeight="15"/>
  <cols>
    <col min="1" max="1" width="14.7109375" customWidth="1"/>
    <col min="2" max="2" width="40.7109375" customWidth="1"/>
    <col min="3" max="3" width="22.7109375" customWidth="1"/>
    <col min="4" max="4" width="20.7109375" customWidth="1"/>
    <col min="5" max="5" width="14.7109375" customWidth="1"/>
    <col min="6" max="6" width="30.7109375" customWidth="1"/>
  </cols>
  <sheetData>
    <row r="1" spans="1:6" ht="28" customHeight="1">
      <c r="A1" s="1" t="s">
        <v>221</v>
      </c>
      <c r="B1" s="1"/>
      <c r="C1" s="1"/>
      <c r="D1" s="1"/>
      <c r="E1" s="1"/>
      <c r="F1" s="1"/>
    </row>
    <row r="2" spans="1:6" ht="30" customHeight="1">
      <c r="A2" s="2" t="s">
        <v>222</v>
      </c>
      <c r="B2" s="2" t="s">
        <v>142</v>
      </c>
      <c r="C2" s="2" t="s">
        <v>223</v>
      </c>
      <c r="D2" s="2" t="s">
        <v>224</v>
      </c>
      <c r="E2" s="2" t="s">
        <v>225</v>
      </c>
      <c r="F2" s="2" t="s">
        <v>226</v>
      </c>
    </row>
    <row r="3" spans="1:6" ht="22" customHeight="1">
      <c r="A3" s="61" t="s">
        <v>227</v>
      </c>
      <c r="B3" s="10" t="s">
        <v>91</v>
      </c>
      <c r="C3" s="10" t="s">
        <v>228</v>
      </c>
      <c r="D3" s="3" t="s">
        <v>229</v>
      </c>
      <c r="E3" s="62">
        <v>55000</v>
      </c>
      <c r="F3" s="3" t="s">
        <v>230</v>
      </c>
    </row>
    <row r="4" spans="1:6" ht="22" customHeight="1">
      <c r="A4" s="61"/>
      <c r="B4" s="10" t="s">
        <v>74</v>
      </c>
      <c r="C4" s="10" t="s">
        <v>228</v>
      </c>
      <c r="D4" s="3" t="s">
        <v>231</v>
      </c>
      <c r="E4" s="62">
        <v>80000</v>
      </c>
      <c r="F4" s="3" t="s">
        <v>232</v>
      </c>
    </row>
    <row r="5" spans="1:6" ht="22" customHeight="1">
      <c r="A5" s="61" t="s">
        <v>233</v>
      </c>
      <c r="B5" s="10" t="s">
        <v>40</v>
      </c>
      <c r="C5" s="10" t="s">
        <v>228</v>
      </c>
      <c r="D5" s="3" t="s">
        <v>234</v>
      </c>
      <c r="E5" s="62">
        <v>155000</v>
      </c>
      <c r="F5" s="3" t="s">
        <v>235</v>
      </c>
    </row>
    <row r="6" spans="1:6" ht="22" customHeight="1">
      <c r="A6" s="61"/>
      <c r="B6" s="10" t="s">
        <v>82</v>
      </c>
      <c r="C6" s="10" t="s">
        <v>228</v>
      </c>
      <c r="D6" s="3" t="s">
        <v>236</v>
      </c>
      <c r="E6" s="62">
        <v>140000</v>
      </c>
      <c r="F6" s="3" t="s">
        <v>237</v>
      </c>
    </row>
    <row r="7" spans="1:6" ht="22" customHeight="1">
      <c r="A7" s="61"/>
      <c r="B7" s="10" t="s">
        <v>111</v>
      </c>
      <c r="C7" s="10" t="s">
        <v>228</v>
      </c>
      <c r="D7" s="3" t="s">
        <v>238</v>
      </c>
      <c r="E7" s="62">
        <v>75000</v>
      </c>
      <c r="F7" s="3" t="s">
        <v>239</v>
      </c>
    </row>
    <row r="8" spans="1:6" ht="22" customHeight="1">
      <c r="A8" s="61"/>
      <c r="B8" s="10" t="s">
        <v>25</v>
      </c>
      <c r="C8" s="10" t="s">
        <v>228</v>
      </c>
      <c r="D8" s="3" t="s">
        <v>240</v>
      </c>
      <c r="E8" s="62">
        <v>225000</v>
      </c>
      <c r="F8" s="3" t="s">
        <v>241</v>
      </c>
    </row>
    <row r="9" spans="1:6" ht="22" customHeight="1">
      <c r="A9" s="61" t="s">
        <v>242</v>
      </c>
      <c r="B9" s="10" t="s">
        <v>152</v>
      </c>
      <c r="C9" s="10" t="s">
        <v>228</v>
      </c>
      <c r="D9" s="3" t="s">
        <v>243</v>
      </c>
      <c r="E9" s="62">
        <v>160000</v>
      </c>
      <c r="F9" s="3" t="s">
        <v>244</v>
      </c>
    </row>
    <row r="10" spans="1:6" ht="22" customHeight="1">
      <c r="A10" s="61"/>
      <c r="B10" s="12" t="s">
        <v>245</v>
      </c>
      <c r="C10" s="12" t="s">
        <v>246</v>
      </c>
      <c r="D10" s="3" t="s">
        <v>247</v>
      </c>
      <c r="E10" s="63" t="s">
        <v>248</v>
      </c>
      <c r="F10" s="3" t="s">
        <v>249</v>
      </c>
    </row>
    <row r="11" spans="1:6" ht="22" customHeight="1">
      <c r="A11" s="61"/>
      <c r="B11" s="12" t="s">
        <v>250</v>
      </c>
      <c r="C11" s="12" t="s">
        <v>246</v>
      </c>
      <c r="D11" s="3" t="s">
        <v>251</v>
      </c>
      <c r="E11" s="63" t="s">
        <v>248</v>
      </c>
      <c r="F11" s="3" t="s">
        <v>252</v>
      </c>
    </row>
    <row r="12" spans="1:6" ht="22" customHeight="1">
      <c r="A12" s="61" t="s">
        <v>253</v>
      </c>
      <c r="B12" s="10" t="s">
        <v>44</v>
      </c>
      <c r="C12" s="10" t="s">
        <v>228</v>
      </c>
      <c r="D12" s="3" t="s">
        <v>254</v>
      </c>
      <c r="E12" s="62">
        <v>105000</v>
      </c>
      <c r="F12" s="3" t="s">
        <v>255</v>
      </c>
    </row>
    <row r="13" spans="1:6" ht="22" customHeight="1">
      <c r="A13" s="61"/>
      <c r="B13" s="12" t="s">
        <v>256</v>
      </c>
      <c r="C13" s="12" t="s">
        <v>246</v>
      </c>
      <c r="D13" s="3" t="s">
        <v>257</v>
      </c>
      <c r="E13" s="63" t="s">
        <v>248</v>
      </c>
      <c r="F13" s="3" t="s">
        <v>258</v>
      </c>
    </row>
    <row r="14" spans="1:6" ht="22" customHeight="1">
      <c r="A14" s="61" t="s">
        <v>259</v>
      </c>
      <c r="B14" s="12" t="s">
        <v>260</v>
      </c>
      <c r="C14" s="12" t="s">
        <v>246</v>
      </c>
      <c r="D14" s="3" t="s">
        <v>261</v>
      </c>
      <c r="E14" s="63" t="s">
        <v>248</v>
      </c>
      <c r="F14" s="3" t="s">
        <v>262</v>
      </c>
    </row>
    <row r="15" spans="1:6" ht="22" customHeight="1">
      <c r="A15" s="61"/>
      <c r="B15" s="6" t="s">
        <v>263</v>
      </c>
      <c r="C15" s="6" t="s">
        <v>264</v>
      </c>
      <c r="D15" s="3" t="s">
        <v>265</v>
      </c>
      <c r="E15" s="63" t="s">
        <v>248</v>
      </c>
      <c r="F15" s="3" t="s">
        <v>266</v>
      </c>
    </row>
    <row r="16" spans="1:6" ht="22" customHeight="1">
      <c r="A16" s="61" t="s">
        <v>267</v>
      </c>
      <c r="B16" s="10" t="s">
        <v>268</v>
      </c>
      <c r="C16" s="10" t="s">
        <v>228</v>
      </c>
      <c r="D16" s="3" t="s">
        <v>269</v>
      </c>
      <c r="E16" s="62">
        <v>230000</v>
      </c>
      <c r="F16" s="3" t="s">
        <v>270</v>
      </c>
    </row>
    <row r="18" spans="1:6">
      <c r="A18" s="47" t="s">
        <v>271</v>
      </c>
      <c r="B18" s="47"/>
      <c r="C18" s="47"/>
      <c r="D18" s="47"/>
      <c r="E18" s="47"/>
      <c r="F18" s="47"/>
    </row>
    <row r="19" spans="1:6">
      <c r="A19" s="64" t="s">
        <v>272</v>
      </c>
      <c r="B19" s="65" t="s">
        <v>273</v>
      </c>
      <c r="C19" s="65"/>
      <c r="D19" s="65"/>
      <c r="E19" s="65"/>
      <c r="F19" s="65"/>
    </row>
    <row r="20" spans="1:6">
      <c r="A20" s="64" t="s">
        <v>274</v>
      </c>
      <c r="B20" s="65" t="s">
        <v>275</v>
      </c>
      <c r="C20" s="65"/>
      <c r="D20" s="65"/>
      <c r="E20" s="65"/>
      <c r="F20" s="65"/>
    </row>
    <row r="21" spans="1:6">
      <c r="A21" s="64" t="s">
        <v>276</v>
      </c>
      <c r="B21" s="65" t="s">
        <v>277</v>
      </c>
      <c r="C21" s="65"/>
      <c r="D21" s="65"/>
      <c r="E21" s="65"/>
      <c r="F21" s="65"/>
    </row>
    <row r="22" spans="1:6">
      <c r="A22" s="64" t="s">
        <v>278</v>
      </c>
      <c r="B22" s="65" t="s">
        <v>279</v>
      </c>
      <c r="C22" s="65"/>
      <c r="D22" s="65"/>
      <c r="E22" s="65"/>
      <c r="F22" s="65"/>
    </row>
    <row r="23" spans="1:6">
      <c r="A23" s="64" t="s">
        <v>280</v>
      </c>
      <c r="B23" s="65" t="s">
        <v>281</v>
      </c>
      <c r="C23" s="65"/>
      <c r="D23" s="65"/>
      <c r="E23" s="65"/>
      <c r="F23" s="65"/>
    </row>
  </sheetData>
  <mergeCells count="7">
    <mergeCell ref="A1:F1"/>
    <mergeCell ref="A18:F18"/>
    <mergeCell ref="B19:F19"/>
    <mergeCell ref="B20:F20"/>
    <mergeCell ref="B21:F21"/>
    <mergeCell ref="B22:F22"/>
    <mergeCell ref="B23:F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94560"/>
  </sheetPr>
  <dimension ref="A1:P35"/>
  <sheetViews>
    <sheetView zoomScale="85" zoomScaleNormal="85" workbookViewId="0"/>
  </sheetViews>
  <sheetFormatPr defaultRowHeight="15"/>
  <sheetData>
    <row r="1" spans="1:16" ht="32" customHeight="1">
      <c r="A1" s="66" t="s">
        <v>282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ht="24" customHeight="1">
      <c r="A2" s="67" t="s">
        <v>283</v>
      </c>
      <c r="B2" s="67"/>
      <c r="C2" s="67"/>
      <c r="D2" s="67" t="s">
        <v>286</v>
      </c>
      <c r="E2" s="67"/>
      <c r="F2" s="67"/>
      <c r="G2" s="67" t="s">
        <v>50</v>
      </c>
      <c r="H2" s="67"/>
      <c r="I2" s="67"/>
      <c r="J2" s="67" t="s">
        <v>289</v>
      </c>
      <c r="K2" s="67"/>
      <c r="L2" s="67"/>
      <c r="M2" s="67" t="s">
        <v>291</v>
      </c>
      <c r="N2" s="67"/>
      <c r="O2" s="67"/>
    </row>
    <row r="3" spans="1:16" ht="40" customHeight="1">
      <c r="B3" s="68" t="s">
        <v>284</v>
      </c>
      <c r="E3" s="69" t="s">
        <v>287</v>
      </c>
      <c r="H3" s="69" t="s">
        <v>288</v>
      </c>
      <c r="K3" s="70" t="s">
        <v>290</v>
      </c>
      <c r="N3" s="70" t="s">
        <v>292</v>
      </c>
    </row>
    <row r="4" spans="1:16" ht="20" customHeight="1">
      <c r="C4" s="71" t="s">
        <v>285</v>
      </c>
      <c r="F4" s="71" t="s">
        <v>285</v>
      </c>
      <c r="I4" s="71" t="s">
        <v>285</v>
      </c>
      <c r="L4" s="71" t="s">
        <v>285</v>
      </c>
      <c r="O4" s="71" t="s">
        <v>285</v>
      </c>
    </row>
    <row r="6" spans="1:16" hidden="1">
      <c r="A6" t="s">
        <v>293</v>
      </c>
      <c r="B6" t="s">
        <v>209</v>
      </c>
    </row>
    <row r="7" spans="1:16" hidden="1">
      <c r="A7" t="s">
        <v>199</v>
      </c>
      <c r="B7">
        <v>3780</v>
      </c>
    </row>
    <row r="8" spans="1:16" hidden="1">
      <c r="A8" t="s">
        <v>294</v>
      </c>
      <c r="B8">
        <v>3030</v>
      </c>
    </row>
    <row r="9" spans="1:16" hidden="1">
      <c r="A9" t="s">
        <v>295</v>
      </c>
      <c r="B9">
        <v>3190</v>
      </c>
    </row>
    <row r="10" spans="1:16" hidden="1">
      <c r="A10" t="s">
        <v>296</v>
      </c>
      <c r="B10">
        <v>2350</v>
      </c>
    </row>
    <row r="11" spans="1:16" hidden="1"/>
    <row r="12" spans="1:16" hidden="1">
      <c r="A12" t="s">
        <v>14</v>
      </c>
      <c r="B12" t="s">
        <v>297</v>
      </c>
    </row>
    <row r="13" spans="1:16" hidden="1">
      <c r="A13" t="s">
        <v>24</v>
      </c>
      <c r="B13">
        <v>13</v>
      </c>
    </row>
    <row r="14" spans="1:16" hidden="1">
      <c r="A14" t="s">
        <v>31</v>
      </c>
      <c r="B14">
        <v>5</v>
      </c>
    </row>
    <row r="15" spans="1:16" hidden="1">
      <c r="A15" t="s">
        <v>51</v>
      </c>
      <c r="B15">
        <v>2</v>
      </c>
    </row>
    <row r="16" spans="1:16" hidden="1">
      <c r="A16" t="s">
        <v>156</v>
      </c>
      <c r="B16">
        <v>1</v>
      </c>
    </row>
    <row r="17" spans="1:16" hidden="1">
      <c r="A17" t="s">
        <v>99</v>
      </c>
      <c r="B17">
        <v>1</v>
      </c>
    </row>
    <row r="18" spans="1:16" hidden="1"/>
    <row r="19" spans="1:16" hidden="1">
      <c r="A19" t="s">
        <v>298</v>
      </c>
      <c r="B19" t="s">
        <v>299</v>
      </c>
      <c r="C19" t="s">
        <v>295</v>
      </c>
      <c r="D19" t="s">
        <v>296</v>
      </c>
    </row>
    <row r="20" spans="1:16" hidden="1">
      <c r="A20" t="s">
        <v>59</v>
      </c>
      <c r="B20">
        <v>2</v>
      </c>
      <c r="C20">
        <v>3</v>
      </c>
      <c r="D20">
        <v>3</v>
      </c>
    </row>
    <row r="21" spans="1:16" hidden="1">
      <c r="A21" t="s">
        <v>35</v>
      </c>
      <c r="B21">
        <v>2</v>
      </c>
      <c r="C21">
        <v>3</v>
      </c>
      <c r="D21">
        <v>3</v>
      </c>
    </row>
    <row r="22" spans="1:16" hidden="1">
      <c r="A22" t="s">
        <v>48</v>
      </c>
      <c r="B22">
        <v>1</v>
      </c>
      <c r="C22">
        <v>2</v>
      </c>
      <c r="D22">
        <v>2</v>
      </c>
    </row>
    <row r="23" spans="1:16" hidden="1">
      <c r="A23" t="s">
        <v>103</v>
      </c>
      <c r="B23">
        <v>2</v>
      </c>
      <c r="C23">
        <v>2</v>
      </c>
      <c r="D23">
        <v>3</v>
      </c>
    </row>
    <row r="24" spans="1:16" hidden="1">
      <c r="A24" t="s">
        <v>88</v>
      </c>
      <c r="B24">
        <v>1</v>
      </c>
      <c r="C24">
        <v>2</v>
      </c>
      <c r="D24">
        <v>2</v>
      </c>
    </row>
    <row r="25" spans="1:16" hidden="1">
      <c r="A25" t="s">
        <v>19</v>
      </c>
      <c r="B25">
        <v>2</v>
      </c>
      <c r="C25">
        <v>3</v>
      </c>
      <c r="D25">
        <v>4</v>
      </c>
    </row>
    <row r="26" spans="1:16" hidden="1"/>
    <row r="28" spans="1:16" ht="24" customHeight="1">
      <c r="A28" s="72" t="s">
        <v>300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</row>
    <row r="29" spans="1:16" ht="20" customHeight="1">
      <c r="A29" s="73"/>
      <c r="B29" s="73" t="s">
        <v>299</v>
      </c>
      <c r="C29" s="73" t="s">
        <v>301</v>
      </c>
      <c r="D29" s="73" t="s">
        <v>302</v>
      </c>
      <c r="E29" s="73" t="s">
        <v>303</v>
      </c>
    </row>
    <row r="30" spans="1:16" ht="22" customHeight="1">
      <c r="A30" s="50" t="s">
        <v>304</v>
      </c>
      <c r="B30" s="54">
        <v>22</v>
      </c>
      <c r="C30" s="33">
        <v>16</v>
      </c>
      <c r="D30" s="33">
        <v>14</v>
      </c>
      <c r="E30" s="33">
        <v>12</v>
      </c>
    </row>
    <row r="31" spans="1:16" ht="22" customHeight="1">
      <c r="A31" s="50" t="s">
        <v>305</v>
      </c>
      <c r="B31" s="54">
        <v>18</v>
      </c>
      <c r="C31" s="33">
        <v>14</v>
      </c>
      <c r="D31" s="33">
        <v>14</v>
      </c>
      <c r="E31" s="33">
        <v>11</v>
      </c>
    </row>
    <row r="32" spans="1:16" ht="22" customHeight="1">
      <c r="A32" s="50" t="s">
        <v>306</v>
      </c>
      <c r="B32" s="54">
        <v>3780</v>
      </c>
      <c r="C32" s="33">
        <v>3030</v>
      </c>
      <c r="D32" s="33">
        <v>3190</v>
      </c>
      <c r="E32" s="33">
        <v>2350</v>
      </c>
    </row>
    <row r="33" spans="1:5" ht="22" customHeight="1">
      <c r="A33" s="50" t="s">
        <v>307</v>
      </c>
      <c r="B33" s="54">
        <v>0</v>
      </c>
      <c r="C33" s="33">
        <v>750</v>
      </c>
      <c r="D33" s="33">
        <v>590</v>
      </c>
      <c r="E33" s="33">
        <v>1430</v>
      </c>
    </row>
    <row r="34" spans="1:5" ht="22" customHeight="1">
      <c r="A34" s="50" t="s">
        <v>308</v>
      </c>
      <c r="B34" s="54">
        <v>6</v>
      </c>
      <c r="C34" s="33">
        <v>5</v>
      </c>
      <c r="D34" s="33">
        <v>2</v>
      </c>
      <c r="E34" s="33">
        <v>0</v>
      </c>
    </row>
    <row r="35" spans="1:5" ht="22" customHeight="1">
      <c r="A35" s="50" t="s">
        <v>309</v>
      </c>
      <c r="B35" s="54">
        <v>3</v>
      </c>
      <c r="C35" s="33">
        <v>2</v>
      </c>
      <c r="D35" s="33">
        <v>0</v>
      </c>
      <c r="E35" s="33">
        <v>0</v>
      </c>
    </row>
  </sheetData>
  <mergeCells count="7">
    <mergeCell ref="A1:P1"/>
    <mergeCell ref="A2:C2"/>
    <mergeCell ref="D2:F2"/>
    <mergeCell ref="G2:I2"/>
    <mergeCell ref="J2:L2"/>
    <mergeCell ref="M2:O2"/>
    <mergeCell ref="A28:P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Tool Inventory</vt:lpstr>
      <vt:lpstr>2. Scoring Results</vt:lpstr>
      <vt:lpstr>3. Coverage Heatmap</vt:lpstr>
      <vt:lpstr>4. Scenario Comparison</vt:lpstr>
      <vt:lpstr>5. Execution Roadmap</vt:lpstr>
      <vt:lpstr>6.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Security Tool Consolidation Analysis — Acme Financial Corp</dc:title>
  <dc:subject>Tool Rationalisation</dc:subject>
  <dc:creator>Security Architecture Team</dc:creator>
  <dc:description>Generated from cyber-tech-ref-architecture/consolidation/</dc:description>
  <cp:lastModifiedBy>Security Architecture Team</cp:lastModifiedBy>
  <dcterms:created xsi:type="dcterms:W3CDTF">2026-04-19T02:11:12Z</dcterms:created>
  <dcterms:modified xsi:type="dcterms:W3CDTF">2026-04-19T02:11:12Z</dcterms:modified>
</cp:coreProperties>
</file>